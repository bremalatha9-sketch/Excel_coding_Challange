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yanr\Downloads\"/>
    </mc:Choice>
  </mc:AlternateContent>
  <xr:revisionPtr revIDLastSave="0" documentId="8_{D4B40AE0-F7CF-4BAF-9345-EBE347A28CBA}" xr6:coauthVersionLast="47" xr6:coauthVersionMax="47" xr10:uidLastSave="{00000000-0000-0000-0000-000000000000}"/>
  <bookViews>
    <workbookView xWindow="2730" yWindow="1710" windowWidth="24165" windowHeight="14490" activeTab="1" xr2:uid="{7880B881-8844-4951-AA61-C3AC5D86F137}"/>
  </bookViews>
  <sheets>
    <sheet name="VKLP!" sheetId="14" r:id="rId1"/>
    <sheet name="VKLP final sheet" sheetId="16" r:id="rId2"/>
  </sheets>
  <definedNames>
    <definedName name="ExternalData_3" localSheetId="0" hidden="1">'VKLP!'!$A$1:$R$500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6" l="1"/>
  <c r="J3" i="16"/>
  <c r="J4" i="16"/>
  <c r="J5" i="16"/>
  <c r="J6" i="16"/>
  <c r="J7" i="16"/>
  <c r="J8" i="16"/>
  <c r="J9" i="16"/>
  <c r="J10" i="16"/>
  <c r="J11" i="16"/>
  <c r="J12" i="16"/>
  <c r="J13" i="16"/>
  <c r="J14" i="16"/>
  <c r="J15" i="16"/>
  <c r="J16" i="16"/>
  <c r="J17" i="16"/>
  <c r="J18" i="16"/>
  <c r="J19" i="16"/>
  <c r="J20" i="16"/>
  <c r="J21" i="16"/>
  <c r="J22" i="16"/>
  <c r="J23" i="16"/>
  <c r="J24" i="16"/>
  <c r="J25" i="16"/>
  <c r="J26" i="16"/>
  <c r="J27" i="16"/>
  <c r="J28" i="16"/>
  <c r="J29" i="16"/>
  <c r="J30" i="16"/>
  <c r="J31" i="16"/>
  <c r="J32" i="16"/>
  <c r="J33" i="16"/>
  <c r="J34" i="16"/>
  <c r="J35" i="16"/>
  <c r="J36" i="16"/>
  <c r="J37" i="16"/>
  <c r="J38" i="16"/>
  <c r="J39" i="16"/>
  <c r="J40" i="16"/>
  <c r="J41" i="16"/>
  <c r="J42" i="16"/>
  <c r="J43" i="16"/>
  <c r="J44" i="16"/>
  <c r="J45" i="16"/>
  <c r="J46" i="16"/>
  <c r="J47" i="16"/>
  <c r="J48" i="16"/>
  <c r="J49" i="16"/>
  <c r="J50" i="16"/>
  <c r="J51" i="16"/>
  <c r="J52" i="16"/>
  <c r="J53" i="16"/>
  <c r="J54" i="16"/>
  <c r="J55" i="16"/>
  <c r="J56" i="16"/>
  <c r="J57" i="16"/>
  <c r="J58" i="16"/>
  <c r="J59" i="16"/>
  <c r="J60" i="16"/>
  <c r="J61" i="16"/>
  <c r="J62" i="16"/>
  <c r="J63" i="16"/>
  <c r="J64" i="16"/>
  <c r="J65" i="16"/>
  <c r="J66" i="16"/>
  <c r="J67" i="16"/>
  <c r="J68" i="16"/>
  <c r="J69" i="16"/>
  <c r="J70" i="16"/>
  <c r="J71" i="16"/>
  <c r="J72" i="16"/>
  <c r="J73" i="16"/>
  <c r="J74" i="16"/>
  <c r="J75" i="16"/>
  <c r="J76" i="16"/>
  <c r="J77" i="16"/>
  <c r="J78" i="16"/>
  <c r="J79" i="16"/>
  <c r="J80" i="16"/>
  <c r="J81" i="16"/>
  <c r="J82" i="16"/>
  <c r="J83" i="16"/>
  <c r="J84" i="16"/>
  <c r="J85" i="16"/>
  <c r="J86" i="16"/>
  <c r="J87" i="16"/>
  <c r="J88" i="16"/>
  <c r="J89" i="16"/>
  <c r="J90" i="16"/>
  <c r="J91" i="16"/>
  <c r="J92" i="16"/>
  <c r="J93" i="16"/>
  <c r="J94" i="16"/>
  <c r="J95" i="16"/>
  <c r="J96" i="16"/>
  <c r="J97" i="16"/>
  <c r="J98" i="16"/>
  <c r="J99" i="16"/>
  <c r="J100" i="16"/>
  <c r="J101" i="16"/>
  <c r="J102" i="16"/>
  <c r="J103" i="16"/>
  <c r="J104" i="16"/>
  <c r="J105" i="16"/>
  <c r="J106" i="16"/>
  <c r="J107" i="16"/>
  <c r="J108" i="16"/>
  <c r="J109" i="16"/>
  <c r="J110" i="16"/>
  <c r="J111" i="16"/>
  <c r="J112" i="16"/>
  <c r="J113" i="16"/>
  <c r="J114" i="16"/>
  <c r="J115" i="16"/>
  <c r="J116" i="16"/>
  <c r="J117" i="16"/>
  <c r="J118" i="16"/>
  <c r="J119" i="16"/>
  <c r="J120" i="16"/>
  <c r="J121" i="16"/>
  <c r="J122" i="16"/>
  <c r="J123" i="16"/>
  <c r="J124" i="16"/>
  <c r="J125" i="16"/>
  <c r="J126" i="16"/>
  <c r="J127" i="16"/>
  <c r="J128" i="16"/>
  <c r="J129" i="16"/>
  <c r="J130" i="16"/>
  <c r="J131" i="16"/>
  <c r="J132" i="16"/>
  <c r="J133" i="16"/>
  <c r="J134" i="16"/>
  <c r="J135" i="16"/>
  <c r="J136" i="16"/>
  <c r="J137" i="16"/>
  <c r="J138" i="16"/>
  <c r="J139" i="16"/>
  <c r="J140" i="16"/>
  <c r="J141" i="16"/>
  <c r="J142" i="16"/>
  <c r="J143" i="16"/>
  <c r="J144" i="16"/>
  <c r="J145" i="16"/>
  <c r="J146" i="16"/>
  <c r="J147" i="16"/>
  <c r="J148" i="16"/>
  <c r="J149" i="16"/>
  <c r="J150" i="16"/>
  <c r="J151" i="16"/>
  <c r="J152" i="16"/>
  <c r="J153" i="16"/>
  <c r="J154" i="16"/>
  <c r="J155" i="16"/>
  <c r="J156" i="16"/>
  <c r="J157" i="16"/>
  <c r="J158" i="16"/>
  <c r="J159" i="16"/>
  <c r="J160" i="16"/>
  <c r="J161" i="16"/>
  <c r="J162" i="16"/>
  <c r="J163" i="16"/>
  <c r="J164" i="16"/>
  <c r="J165" i="16"/>
  <c r="J166" i="16"/>
  <c r="J167" i="16"/>
  <c r="J168" i="16"/>
  <c r="J169" i="16"/>
  <c r="J170" i="16"/>
  <c r="J171" i="16"/>
  <c r="J172" i="16"/>
  <c r="J173" i="16"/>
  <c r="J174" i="16"/>
  <c r="J175" i="16"/>
  <c r="J176" i="16"/>
  <c r="J177" i="16"/>
  <c r="J178" i="16"/>
  <c r="J179" i="16"/>
  <c r="J180" i="16"/>
  <c r="J181" i="16"/>
  <c r="J182" i="16"/>
  <c r="J183" i="16"/>
  <c r="J184" i="16"/>
  <c r="J185" i="16"/>
  <c r="J186" i="16"/>
  <c r="J187" i="16"/>
  <c r="J188" i="16"/>
  <c r="J189" i="16"/>
  <c r="J190" i="16"/>
  <c r="J191" i="16"/>
  <c r="J192" i="16"/>
  <c r="J193" i="16"/>
  <c r="J194" i="16"/>
  <c r="J195" i="16"/>
  <c r="J196" i="16"/>
  <c r="J197" i="16"/>
  <c r="J198" i="16"/>
  <c r="J199" i="16"/>
  <c r="J200" i="16"/>
  <c r="J201" i="16"/>
  <c r="J202" i="16"/>
  <c r="J203" i="16"/>
  <c r="J204" i="16"/>
  <c r="J205" i="16"/>
  <c r="J206" i="16"/>
  <c r="J207" i="16"/>
  <c r="J208" i="16"/>
  <c r="J209" i="16"/>
  <c r="J210" i="16"/>
  <c r="J211" i="16"/>
  <c r="J212" i="16"/>
  <c r="J213" i="16"/>
  <c r="J214" i="16"/>
  <c r="J215" i="16"/>
  <c r="J216" i="16"/>
  <c r="J217" i="16"/>
  <c r="J218" i="16"/>
  <c r="J219" i="16"/>
  <c r="J220" i="16"/>
  <c r="J221" i="16"/>
  <c r="J222" i="16"/>
  <c r="J223" i="16"/>
  <c r="J224" i="16"/>
  <c r="J225" i="16"/>
  <c r="J226" i="16"/>
  <c r="J227" i="16"/>
  <c r="J228" i="16"/>
  <c r="J229" i="16"/>
  <c r="J230" i="16"/>
  <c r="J231" i="16"/>
  <c r="J232" i="16"/>
  <c r="J233" i="16"/>
  <c r="J234" i="16"/>
  <c r="J235" i="16"/>
  <c r="J236" i="16"/>
  <c r="J237" i="16"/>
  <c r="J238" i="16"/>
  <c r="J239" i="16"/>
  <c r="J240" i="16"/>
  <c r="J241" i="16"/>
  <c r="J242" i="16"/>
  <c r="J243" i="16"/>
  <c r="J244" i="16"/>
  <c r="J245" i="16"/>
  <c r="J246" i="16"/>
  <c r="J247" i="16"/>
  <c r="J248" i="16"/>
  <c r="J249" i="16"/>
  <c r="J250" i="16"/>
  <c r="J251" i="16"/>
  <c r="J252" i="16"/>
  <c r="J253" i="16"/>
  <c r="J254" i="16"/>
  <c r="J255" i="16"/>
  <c r="J256" i="16"/>
  <c r="J257" i="16"/>
  <c r="J258" i="16"/>
  <c r="J259" i="16"/>
  <c r="J260" i="16"/>
  <c r="J261" i="16"/>
  <c r="J262" i="16"/>
  <c r="J263" i="16"/>
  <c r="J264" i="16"/>
  <c r="J265" i="16"/>
  <c r="J266" i="16"/>
  <c r="J267" i="16"/>
  <c r="J268" i="16"/>
  <c r="J269" i="16"/>
  <c r="J270" i="16"/>
  <c r="J271" i="16"/>
  <c r="J272" i="16"/>
  <c r="J273" i="16"/>
  <c r="J274" i="16"/>
  <c r="J275" i="16"/>
  <c r="J276" i="16"/>
  <c r="J277" i="16"/>
  <c r="J278" i="16"/>
  <c r="J279" i="16"/>
  <c r="J280" i="16"/>
  <c r="J281" i="16"/>
  <c r="J282" i="16"/>
  <c r="J283" i="16"/>
  <c r="J284" i="16"/>
  <c r="J285" i="16"/>
  <c r="J286" i="16"/>
  <c r="J287" i="16"/>
  <c r="J288" i="16"/>
  <c r="J289" i="16"/>
  <c r="J290" i="16"/>
  <c r="J291" i="16"/>
  <c r="J292" i="16"/>
  <c r="J293" i="16"/>
  <c r="J294" i="16"/>
  <c r="J295" i="16"/>
  <c r="J296" i="16"/>
  <c r="J297" i="16"/>
  <c r="J298" i="16"/>
  <c r="J299" i="16"/>
  <c r="J300" i="16"/>
  <c r="J301" i="16"/>
  <c r="J302" i="16"/>
  <c r="J303" i="16"/>
  <c r="J304" i="16"/>
  <c r="J305" i="16"/>
  <c r="J306" i="16"/>
  <c r="J307" i="16"/>
  <c r="J308" i="16"/>
  <c r="J309" i="16"/>
  <c r="J310" i="16"/>
  <c r="J311" i="16"/>
  <c r="J312" i="16"/>
  <c r="J313" i="16"/>
  <c r="J314" i="16"/>
  <c r="J315" i="16"/>
  <c r="J316" i="16"/>
  <c r="J317" i="16"/>
  <c r="J318" i="16"/>
  <c r="J319" i="16"/>
  <c r="J320" i="16"/>
  <c r="J321" i="16"/>
  <c r="J322" i="16"/>
  <c r="J323" i="16"/>
  <c r="J324" i="16"/>
  <c r="J325" i="16"/>
  <c r="J326" i="16"/>
  <c r="J327" i="16"/>
  <c r="J328" i="16"/>
  <c r="J329" i="16"/>
  <c r="J330" i="16"/>
  <c r="J331" i="16"/>
  <c r="J332" i="16"/>
  <c r="J333" i="16"/>
  <c r="J334" i="16"/>
  <c r="J335" i="16"/>
  <c r="J336" i="16"/>
  <c r="J337" i="16"/>
  <c r="J338" i="16"/>
  <c r="J339" i="16"/>
  <c r="J340" i="16"/>
  <c r="J341" i="16"/>
  <c r="J342" i="16"/>
  <c r="J343" i="16"/>
  <c r="J344" i="16"/>
  <c r="J345" i="16"/>
  <c r="J346" i="16"/>
  <c r="J347" i="16"/>
  <c r="J348" i="16"/>
  <c r="J349" i="16"/>
  <c r="J350" i="16"/>
  <c r="J351" i="16"/>
  <c r="J352" i="16"/>
  <c r="J353" i="16"/>
  <c r="J354" i="16"/>
  <c r="J355" i="16"/>
  <c r="J356" i="16"/>
  <c r="J357" i="16"/>
  <c r="J358" i="16"/>
  <c r="J359" i="16"/>
  <c r="J360" i="16"/>
  <c r="J361" i="16"/>
  <c r="J362" i="16"/>
  <c r="J363" i="16"/>
  <c r="J364" i="16"/>
  <c r="J365" i="16"/>
  <c r="J366" i="16"/>
  <c r="J367" i="16"/>
  <c r="J368" i="16"/>
  <c r="J369" i="16"/>
  <c r="J370" i="16"/>
  <c r="J371" i="16"/>
  <c r="J372" i="16"/>
  <c r="J373" i="16"/>
  <c r="J374" i="16"/>
  <c r="J375" i="16"/>
  <c r="J376" i="16"/>
  <c r="J377" i="16"/>
  <c r="J378" i="16"/>
  <c r="J379" i="16"/>
  <c r="J380" i="16"/>
  <c r="J381" i="16"/>
  <c r="J382" i="16"/>
  <c r="J383" i="16"/>
  <c r="J384" i="16"/>
  <c r="J385" i="16"/>
  <c r="J386" i="16"/>
  <c r="J387" i="16"/>
  <c r="J388" i="16"/>
  <c r="J389" i="16"/>
  <c r="J390" i="16"/>
  <c r="J391" i="16"/>
  <c r="J392" i="16"/>
  <c r="J393" i="16"/>
  <c r="J394" i="16"/>
  <c r="J395" i="16"/>
  <c r="J396" i="16"/>
  <c r="J397" i="16"/>
  <c r="J398" i="16"/>
  <c r="J399" i="16"/>
  <c r="J400" i="16"/>
  <c r="J401" i="16"/>
  <c r="J402" i="16"/>
  <c r="J403" i="16"/>
  <c r="J404" i="16"/>
  <c r="J405" i="16"/>
  <c r="J406" i="16"/>
  <c r="J407" i="16"/>
  <c r="J408" i="16"/>
  <c r="J409" i="16"/>
  <c r="J410" i="16"/>
  <c r="J411" i="16"/>
  <c r="J412" i="16"/>
  <c r="J413" i="16"/>
  <c r="J414" i="16"/>
  <c r="J415" i="16"/>
  <c r="J416" i="16"/>
  <c r="J417" i="16"/>
  <c r="J418" i="16"/>
  <c r="J419" i="16"/>
  <c r="J420" i="16"/>
  <c r="J421" i="16"/>
  <c r="J422" i="16"/>
  <c r="J423" i="16"/>
  <c r="J424" i="16"/>
  <c r="J425" i="16"/>
  <c r="J426" i="16"/>
  <c r="J427" i="16"/>
  <c r="J428" i="16"/>
  <c r="J429" i="16"/>
  <c r="J430" i="16"/>
  <c r="J431" i="16"/>
  <c r="J432" i="16"/>
  <c r="J433" i="16"/>
  <c r="J434" i="16"/>
  <c r="J435" i="16"/>
  <c r="J436" i="16"/>
  <c r="J437" i="16"/>
  <c r="J438" i="16"/>
  <c r="J439" i="16"/>
  <c r="J440" i="16"/>
  <c r="J441" i="16"/>
  <c r="J442" i="16"/>
  <c r="J443" i="16"/>
  <c r="J444" i="16"/>
  <c r="J445" i="16"/>
  <c r="J446" i="16"/>
  <c r="J447" i="16"/>
  <c r="J448" i="16"/>
  <c r="J449" i="16"/>
  <c r="J450" i="16"/>
  <c r="J451" i="16"/>
  <c r="J452" i="16"/>
  <c r="J453" i="16"/>
  <c r="J454" i="16"/>
  <c r="J455" i="16"/>
  <c r="J456" i="16"/>
  <c r="J457" i="16"/>
  <c r="J458" i="16"/>
  <c r="J459" i="16"/>
  <c r="J460" i="16"/>
  <c r="J461" i="16"/>
  <c r="J462" i="16"/>
  <c r="J463" i="16"/>
  <c r="J464" i="16"/>
  <c r="J465" i="16"/>
  <c r="J466" i="16"/>
  <c r="J467" i="16"/>
  <c r="J468" i="16"/>
  <c r="J469" i="16"/>
  <c r="J470" i="16"/>
  <c r="J471" i="16"/>
  <c r="J472" i="16"/>
  <c r="J473" i="16"/>
  <c r="J474" i="16"/>
  <c r="J475" i="16"/>
  <c r="J476" i="16"/>
  <c r="J477" i="16"/>
  <c r="J478" i="16"/>
  <c r="J479" i="16"/>
  <c r="J480" i="16"/>
  <c r="J481" i="16"/>
  <c r="J482" i="16"/>
  <c r="J483" i="16"/>
  <c r="J484" i="16"/>
  <c r="J485" i="16"/>
  <c r="J486" i="16"/>
  <c r="J487" i="16"/>
  <c r="J488" i="16"/>
  <c r="J489" i="16"/>
  <c r="J490" i="16"/>
  <c r="J491" i="16"/>
  <c r="J492" i="16"/>
  <c r="J493" i="16"/>
  <c r="J494" i="16"/>
  <c r="J495" i="16"/>
  <c r="J496" i="16"/>
  <c r="J497" i="16"/>
  <c r="J498" i="16"/>
  <c r="J499" i="16"/>
  <c r="J500" i="16"/>
  <c r="I2" i="16"/>
  <c r="I4" i="16"/>
  <c r="I3" i="16"/>
  <c r="I5" i="16"/>
  <c r="I6" i="16"/>
  <c r="I7" i="16"/>
  <c r="I8" i="16"/>
  <c r="I9" i="16"/>
  <c r="I10" i="16"/>
  <c r="I11" i="16"/>
  <c r="I12" i="16"/>
  <c r="I13" i="16"/>
  <c r="I14" i="16"/>
  <c r="I15" i="16"/>
  <c r="I16" i="16"/>
  <c r="I17" i="16"/>
  <c r="I18" i="16"/>
  <c r="I19" i="16"/>
  <c r="I20" i="16"/>
  <c r="I21" i="16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05" i="16"/>
  <c r="I106" i="16"/>
  <c r="I107" i="16"/>
  <c r="I108" i="16"/>
  <c r="I109" i="16"/>
  <c r="I110" i="16"/>
  <c r="I111" i="16"/>
  <c r="I112" i="16"/>
  <c r="I113" i="16"/>
  <c r="I114" i="16"/>
  <c r="I115" i="16"/>
  <c r="I116" i="16"/>
  <c r="I117" i="16"/>
  <c r="I118" i="16"/>
  <c r="I119" i="16"/>
  <c r="I120" i="16"/>
  <c r="I121" i="16"/>
  <c r="I122" i="16"/>
  <c r="I123" i="16"/>
  <c r="I124" i="16"/>
  <c r="I125" i="16"/>
  <c r="I126" i="16"/>
  <c r="I127" i="16"/>
  <c r="I128" i="16"/>
  <c r="I129" i="16"/>
  <c r="I130" i="16"/>
  <c r="I131" i="16"/>
  <c r="I132" i="16"/>
  <c r="I133" i="16"/>
  <c r="I134" i="16"/>
  <c r="I135" i="16"/>
  <c r="I136" i="16"/>
  <c r="I137" i="16"/>
  <c r="I138" i="16"/>
  <c r="I139" i="16"/>
  <c r="I140" i="16"/>
  <c r="I141" i="16"/>
  <c r="I142" i="16"/>
  <c r="I143" i="16"/>
  <c r="I144" i="16"/>
  <c r="I145" i="16"/>
  <c r="I146" i="16"/>
  <c r="I147" i="16"/>
  <c r="I148" i="16"/>
  <c r="I149" i="16"/>
  <c r="I150" i="16"/>
  <c r="I151" i="16"/>
  <c r="I152" i="16"/>
  <c r="I153" i="16"/>
  <c r="I154" i="16"/>
  <c r="I155" i="16"/>
  <c r="I156" i="16"/>
  <c r="I157" i="16"/>
  <c r="I158" i="16"/>
  <c r="I159" i="16"/>
  <c r="I160" i="16"/>
  <c r="I161" i="16"/>
  <c r="I162" i="16"/>
  <c r="I163" i="16"/>
  <c r="I164" i="16"/>
  <c r="I165" i="16"/>
  <c r="I166" i="16"/>
  <c r="I167" i="16"/>
  <c r="I168" i="16"/>
  <c r="I169" i="16"/>
  <c r="I170" i="16"/>
  <c r="I171" i="16"/>
  <c r="I172" i="16"/>
  <c r="I173" i="16"/>
  <c r="I174" i="16"/>
  <c r="I175" i="16"/>
  <c r="I176" i="16"/>
  <c r="I177" i="16"/>
  <c r="I178" i="16"/>
  <c r="I179" i="16"/>
  <c r="I180" i="16"/>
  <c r="I181" i="16"/>
  <c r="I182" i="16"/>
  <c r="I183" i="16"/>
  <c r="I184" i="16"/>
  <c r="I185" i="16"/>
  <c r="I186" i="16"/>
  <c r="I187" i="16"/>
  <c r="I188" i="16"/>
  <c r="I189" i="16"/>
  <c r="I190" i="16"/>
  <c r="I191" i="16"/>
  <c r="I192" i="16"/>
  <c r="I193" i="16"/>
  <c r="I194" i="16"/>
  <c r="I195" i="16"/>
  <c r="I196" i="16"/>
  <c r="I197" i="16"/>
  <c r="I198" i="16"/>
  <c r="I199" i="16"/>
  <c r="I200" i="16"/>
  <c r="I201" i="16"/>
  <c r="I202" i="16"/>
  <c r="I203" i="16"/>
  <c r="I204" i="16"/>
  <c r="I205" i="16"/>
  <c r="I206" i="16"/>
  <c r="I207" i="16"/>
  <c r="I208" i="16"/>
  <c r="I209" i="16"/>
  <c r="I210" i="16"/>
  <c r="I211" i="16"/>
  <c r="I212" i="16"/>
  <c r="I213" i="16"/>
  <c r="I214" i="16"/>
  <c r="I215" i="16"/>
  <c r="I216" i="16"/>
  <c r="I217" i="16"/>
  <c r="I218" i="16"/>
  <c r="I219" i="16"/>
  <c r="I220" i="16"/>
  <c r="I221" i="16"/>
  <c r="I222" i="16"/>
  <c r="I223" i="16"/>
  <c r="I224" i="16"/>
  <c r="I225" i="16"/>
  <c r="I226" i="16"/>
  <c r="I227" i="16"/>
  <c r="I228" i="16"/>
  <c r="I229" i="16"/>
  <c r="I230" i="16"/>
  <c r="I231" i="16"/>
  <c r="I232" i="16"/>
  <c r="I233" i="16"/>
  <c r="I234" i="16"/>
  <c r="I235" i="16"/>
  <c r="I236" i="16"/>
  <c r="I237" i="16"/>
  <c r="I238" i="16"/>
  <c r="I239" i="16"/>
  <c r="I240" i="16"/>
  <c r="I241" i="16"/>
  <c r="I242" i="16"/>
  <c r="I243" i="16"/>
  <c r="I244" i="16"/>
  <c r="I245" i="16"/>
  <c r="I246" i="16"/>
  <c r="I247" i="16"/>
  <c r="I248" i="16"/>
  <c r="I249" i="16"/>
  <c r="I250" i="16"/>
  <c r="I251" i="16"/>
  <c r="I252" i="16"/>
  <c r="I253" i="16"/>
  <c r="I254" i="16"/>
  <c r="I255" i="16"/>
  <c r="I256" i="16"/>
  <c r="I257" i="16"/>
  <c r="I25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298" i="16"/>
  <c r="I299" i="16"/>
  <c r="I300" i="16"/>
  <c r="I301" i="16"/>
  <c r="I302" i="16"/>
  <c r="I303" i="16"/>
  <c r="I304" i="16"/>
  <c r="I305" i="16"/>
  <c r="I306" i="16"/>
  <c r="I307" i="16"/>
  <c r="I308" i="16"/>
  <c r="I309" i="16"/>
  <c r="I310" i="16"/>
  <c r="I311" i="16"/>
  <c r="I312" i="16"/>
  <c r="I313" i="16"/>
  <c r="I314" i="16"/>
  <c r="I315" i="16"/>
  <c r="I316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350" i="16"/>
  <c r="I351" i="16"/>
  <c r="I352" i="16"/>
  <c r="I353" i="16"/>
  <c r="I354" i="16"/>
  <c r="I355" i="16"/>
  <c r="I356" i="16"/>
  <c r="I357" i="16"/>
  <c r="I358" i="16"/>
  <c r="I359" i="16"/>
  <c r="I360" i="16"/>
  <c r="I361" i="16"/>
  <c r="I362" i="16"/>
  <c r="I363" i="16"/>
  <c r="I364" i="16"/>
  <c r="I365" i="16"/>
  <c r="I366" i="16"/>
  <c r="I367" i="16"/>
  <c r="I368" i="16"/>
  <c r="I369" i="16"/>
  <c r="I370" i="16"/>
  <c r="I371" i="16"/>
  <c r="I372" i="16"/>
  <c r="I373" i="16"/>
  <c r="I374" i="16"/>
  <c r="I375" i="16"/>
  <c r="I376" i="16"/>
  <c r="I377" i="16"/>
  <c r="I378" i="16"/>
  <c r="I379" i="16"/>
  <c r="I380" i="16"/>
  <c r="I381" i="16"/>
  <c r="I382" i="16"/>
  <c r="I383" i="16"/>
  <c r="I384" i="16"/>
  <c r="I385" i="16"/>
  <c r="I386" i="16"/>
  <c r="I387" i="16"/>
  <c r="I388" i="16"/>
  <c r="I389" i="16"/>
  <c r="I390" i="16"/>
  <c r="I391" i="16"/>
  <c r="I392" i="16"/>
  <c r="I393" i="16"/>
  <c r="I394" i="16"/>
  <c r="I395" i="16"/>
  <c r="I396" i="16"/>
  <c r="I397" i="16"/>
  <c r="I398" i="16"/>
  <c r="I399" i="16"/>
  <c r="I400" i="16"/>
  <c r="I401" i="16"/>
  <c r="I402" i="16"/>
  <c r="I403" i="16"/>
  <c r="I404" i="16"/>
  <c r="I405" i="16"/>
  <c r="I406" i="16"/>
  <c r="I407" i="16"/>
  <c r="I408" i="16"/>
  <c r="I409" i="16"/>
  <c r="I410" i="16"/>
  <c r="I411" i="16"/>
  <c r="I412" i="16"/>
  <c r="I413" i="16"/>
  <c r="I414" i="16"/>
  <c r="I415" i="16"/>
  <c r="I416" i="16"/>
  <c r="I417" i="16"/>
  <c r="I418" i="16"/>
  <c r="I419" i="16"/>
  <c r="I420" i="16"/>
  <c r="I421" i="16"/>
  <c r="I422" i="16"/>
  <c r="I423" i="16"/>
  <c r="I424" i="16"/>
  <c r="I425" i="16"/>
  <c r="I426" i="16"/>
  <c r="I427" i="16"/>
  <c r="I428" i="16"/>
  <c r="I429" i="16"/>
  <c r="I430" i="16"/>
  <c r="I431" i="16"/>
  <c r="I432" i="16"/>
  <c r="I433" i="16"/>
  <c r="I434" i="16"/>
  <c r="I435" i="16"/>
  <c r="I436" i="16"/>
  <c r="I437" i="16"/>
  <c r="I438" i="16"/>
  <c r="I439" i="16"/>
  <c r="I440" i="16"/>
  <c r="I441" i="16"/>
  <c r="I442" i="16"/>
  <c r="I443" i="16"/>
  <c r="I444" i="16"/>
  <c r="I445" i="16"/>
  <c r="I446" i="16"/>
  <c r="I447" i="16"/>
  <c r="I448" i="16"/>
  <c r="I449" i="16"/>
  <c r="I450" i="16"/>
  <c r="I451" i="16"/>
  <c r="I452" i="16"/>
  <c r="I453" i="16"/>
  <c r="I454" i="16"/>
  <c r="I455" i="16"/>
  <c r="I456" i="16"/>
  <c r="I457" i="16"/>
  <c r="I458" i="16"/>
  <c r="I459" i="16"/>
  <c r="I460" i="16"/>
  <c r="I461" i="16"/>
  <c r="I462" i="16"/>
  <c r="I463" i="16"/>
  <c r="I464" i="16"/>
  <c r="I465" i="16"/>
  <c r="I466" i="16"/>
  <c r="I467" i="16"/>
  <c r="I468" i="16"/>
  <c r="I469" i="16"/>
  <c r="I470" i="16"/>
  <c r="I471" i="16"/>
  <c r="I472" i="16"/>
  <c r="I473" i="16"/>
  <c r="I474" i="16"/>
  <c r="I475" i="16"/>
  <c r="I476" i="16"/>
  <c r="I477" i="16"/>
  <c r="I478" i="16"/>
  <c r="I479" i="16"/>
  <c r="I480" i="16"/>
  <c r="I481" i="16"/>
  <c r="I482" i="16"/>
  <c r="I483" i="16"/>
  <c r="I484" i="16"/>
  <c r="I485" i="16"/>
  <c r="I486" i="16"/>
  <c r="I487" i="16"/>
  <c r="I488" i="16"/>
  <c r="I489" i="16"/>
  <c r="I490" i="16"/>
  <c r="I491" i="16"/>
  <c r="I492" i="16"/>
  <c r="I493" i="16"/>
  <c r="I494" i="16"/>
  <c r="I495" i="16"/>
  <c r="I496" i="16"/>
  <c r="I497" i="16"/>
  <c r="I498" i="16"/>
  <c r="I499" i="16"/>
  <c r="I500" i="16"/>
  <c r="H2" i="16"/>
  <c r="H3" i="16"/>
  <c r="H4" i="16"/>
  <c r="H5" i="16"/>
  <c r="H6" i="16"/>
  <c r="H7" i="16"/>
  <c r="H8" i="16"/>
  <c r="H9" i="16"/>
  <c r="H10" i="16"/>
  <c r="H11" i="16"/>
  <c r="H12" i="16"/>
  <c r="H13" i="16"/>
  <c r="H14" i="16"/>
  <c r="H15" i="16"/>
  <c r="H16" i="16"/>
  <c r="H17" i="16"/>
  <c r="H18" i="16"/>
  <c r="H19" i="16"/>
  <c r="H20" i="16"/>
  <c r="H21" i="16"/>
  <c r="H22" i="16"/>
  <c r="H23" i="16"/>
  <c r="H24" i="16"/>
  <c r="H25" i="16"/>
  <c r="H26" i="16"/>
  <c r="H27" i="16"/>
  <c r="H28" i="16"/>
  <c r="H29" i="16"/>
  <c r="H30" i="16"/>
  <c r="H31" i="16"/>
  <c r="H32" i="16"/>
  <c r="H33" i="16"/>
  <c r="H34" i="16"/>
  <c r="H35" i="16"/>
  <c r="H36" i="16"/>
  <c r="H37" i="16"/>
  <c r="H38" i="16"/>
  <c r="H39" i="16"/>
  <c r="H40" i="16"/>
  <c r="H41" i="16"/>
  <c r="H42" i="16"/>
  <c r="H43" i="16"/>
  <c r="H44" i="16"/>
  <c r="H45" i="16"/>
  <c r="H46" i="16"/>
  <c r="H47" i="16"/>
  <c r="H48" i="16"/>
  <c r="H49" i="16"/>
  <c r="H50" i="16"/>
  <c r="H51" i="16"/>
  <c r="H52" i="16"/>
  <c r="H53" i="16"/>
  <c r="H54" i="16"/>
  <c r="H55" i="16"/>
  <c r="H56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94" i="16"/>
  <c r="H95" i="16"/>
  <c r="H96" i="16"/>
  <c r="H97" i="16"/>
  <c r="H98" i="16"/>
  <c r="H99" i="16"/>
  <c r="H100" i="16"/>
  <c r="H101" i="16"/>
  <c r="H102" i="16"/>
  <c r="H103" i="16"/>
  <c r="H104" i="16"/>
  <c r="H105" i="16"/>
  <c r="H106" i="16"/>
  <c r="H107" i="16"/>
  <c r="H108" i="16"/>
  <c r="H109" i="16"/>
  <c r="H110" i="16"/>
  <c r="H111" i="16"/>
  <c r="H112" i="16"/>
  <c r="H113" i="16"/>
  <c r="H114" i="16"/>
  <c r="H115" i="16"/>
  <c r="H116" i="16"/>
  <c r="H117" i="16"/>
  <c r="H118" i="16"/>
  <c r="H119" i="16"/>
  <c r="H120" i="16"/>
  <c r="H121" i="16"/>
  <c r="H122" i="16"/>
  <c r="H123" i="16"/>
  <c r="H124" i="16"/>
  <c r="H125" i="16"/>
  <c r="H126" i="16"/>
  <c r="H127" i="16"/>
  <c r="H128" i="16"/>
  <c r="H129" i="16"/>
  <c r="H130" i="16"/>
  <c r="H131" i="16"/>
  <c r="H132" i="16"/>
  <c r="H133" i="16"/>
  <c r="H134" i="16"/>
  <c r="H135" i="16"/>
  <c r="H136" i="16"/>
  <c r="H137" i="16"/>
  <c r="H138" i="16"/>
  <c r="H139" i="16"/>
  <c r="H140" i="16"/>
  <c r="H141" i="16"/>
  <c r="H142" i="16"/>
  <c r="H143" i="16"/>
  <c r="H144" i="16"/>
  <c r="H145" i="16"/>
  <c r="H146" i="16"/>
  <c r="H147" i="16"/>
  <c r="H148" i="16"/>
  <c r="H149" i="16"/>
  <c r="H150" i="16"/>
  <c r="H151" i="16"/>
  <c r="H152" i="16"/>
  <c r="H153" i="16"/>
  <c r="H154" i="16"/>
  <c r="H155" i="16"/>
  <c r="H156" i="16"/>
  <c r="H157" i="16"/>
  <c r="H158" i="16"/>
  <c r="H159" i="16"/>
  <c r="H160" i="16"/>
  <c r="H161" i="16"/>
  <c r="H162" i="16"/>
  <c r="H163" i="16"/>
  <c r="H164" i="16"/>
  <c r="H165" i="16"/>
  <c r="H166" i="16"/>
  <c r="H167" i="16"/>
  <c r="H168" i="16"/>
  <c r="H169" i="16"/>
  <c r="H170" i="16"/>
  <c r="H171" i="16"/>
  <c r="H172" i="16"/>
  <c r="H173" i="16"/>
  <c r="H174" i="16"/>
  <c r="H175" i="16"/>
  <c r="H176" i="16"/>
  <c r="H177" i="16"/>
  <c r="H178" i="16"/>
  <c r="H179" i="16"/>
  <c r="H180" i="16"/>
  <c r="H181" i="16"/>
  <c r="H182" i="16"/>
  <c r="H183" i="16"/>
  <c r="H184" i="16"/>
  <c r="H185" i="16"/>
  <c r="H186" i="16"/>
  <c r="H187" i="16"/>
  <c r="H188" i="16"/>
  <c r="H189" i="16"/>
  <c r="H190" i="16"/>
  <c r="H191" i="16"/>
  <c r="H192" i="16"/>
  <c r="H193" i="16"/>
  <c r="H194" i="16"/>
  <c r="H195" i="16"/>
  <c r="H196" i="16"/>
  <c r="H197" i="16"/>
  <c r="H198" i="16"/>
  <c r="H199" i="16"/>
  <c r="H200" i="16"/>
  <c r="H201" i="16"/>
  <c r="H202" i="16"/>
  <c r="H203" i="16"/>
  <c r="H204" i="16"/>
  <c r="H205" i="16"/>
  <c r="H206" i="16"/>
  <c r="H207" i="16"/>
  <c r="H208" i="16"/>
  <c r="H209" i="16"/>
  <c r="H210" i="16"/>
  <c r="H211" i="16"/>
  <c r="H212" i="16"/>
  <c r="H213" i="16"/>
  <c r="H214" i="16"/>
  <c r="H215" i="16"/>
  <c r="H216" i="16"/>
  <c r="H217" i="16"/>
  <c r="H218" i="16"/>
  <c r="H219" i="16"/>
  <c r="H220" i="16"/>
  <c r="H221" i="16"/>
  <c r="H222" i="16"/>
  <c r="H223" i="16"/>
  <c r="H224" i="16"/>
  <c r="H225" i="16"/>
  <c r="H226" i="16"/>
  <c r="H227" i="16"/>
  <c r="H228" i="16"/>
  <c r="H229" i="16"/>
  <c r="H230" i="16"/>
  <c r="H231" i="16"/>
  <c r="H232" i="16"/>
  <c r="H233" i="16"/>
  <c r="H234" i="16"/>
  <c r="H235" i="16"/>
  <c r="H236" i="16"/>
  <c r="H237" i="16"/>
  <c r="H238" i="16"/>
  <c r="H239" i="16"/>
  <c r="H240" i="16"/>
  <c r="H241" i="16"/>
  <c r="H242" i="16"/>
  <c r="H243" i="16"/>
  <c r="H244" i="16"/>
  <c r="H245" i="16"/>
  <c r="H246" i="16"/>
  <c r="H247" i="16"/>
  <c r="H248" i="16"/>
  <c r="H249" i="16"/>
  <c r="H250" i="16"/>
  <c r="H251" i="16"/>
  <c r="H252" i="16"/>
  <c r="H253" i="16"/>
  <c r="H254" i="16"/>
  <c r="H255" i="16"/>
  <c r="H256" i="16"/>
  <c r="H257" i="16"/>
  <c r="H258" i="16"/>
  <c r="H259" i="16"/>
  <c r="H260" i="16"/>
  <c r="H261" i="16"/>
  <c r="H262" i="16"/>
  <c r="H263" i="16"/>
  <c r="H264" i="16"/>
  <c r="H265" i="16"/>
  <c r="H266" i="16"/>
  <c r="H267" i="16"/>
  <c r="H268" i="16"/>
  <c r="H269" i="16"/>
  <c r="H270" i="16"/>
  <c r="H271" i="16"/>
  <c r="H272" i="16"/>
  <c r="H273" i="16"/>
  <c r="H274" i="16"/>
  <c r="H275" i="16"/>
  <c r="H276" i="16"/>
  <c r="H277" i="16"/>
  <c r="H278" i="16"/>
  <c r="H279" i="16"/>
  <c r="H280" i="16"/>
  <c r="H281" i="16"/>
  <c r="H282" i="16"/>
  <c r="H283" i="16"/>
  <c r="H284" i="16"/>
  <c r="H285" i="16"/>
  <c r="H286" i="16"/>
  <c r="H287" i="16"/>
  <c r="H288" i="16"/>
  <c r="H289" i="16"/>
  <c r="H290" i="16"/>
  <c r="H291" i="16"/>
  <c r="H292" i="16"/>
  <c r="H293" i="16"/>
  <c r="H294" i="16"/>
  <c r="H295" i="16"/>
  <c r="H296" i="16"/>
  <c r="H297" i="16"/>
  <c r="H298" i="16"/>
  <c r="H299" i="16"/>
  <c r="H300" i="16"/>
  <c r="H301" i="16"/>
  <c r="H302" i="16"/>
  <c r="H303" i="16"/>
  <c r="H304" i="16"/>
  <c r="H305" i="16"/>
  <c r="H306" i="16"/>
  <c r="H307" i="16"/>
  <c r="H308" i="16"/>
  <c r="H309" i="16"/>
  <c r="H310" i="16"/>
  <c r="H311" i="16"/>
  <c r="H312" i="16"/>
  <c r="H313" i="16"/>
  <c r="H314" i="16"/>
  <c r="H315" i="16"/>
  <c r="H316" i="16"/>
  <c r="H317" i="16"/>
  <c r="H318" i="16"/>
  <c r="H319" i="16"/>
  <c r="H320" i="16"/>
  <c r="H321" i="16"/>
  <c r="H322" i="16"/>
  <c r="H323" i="16"/>
  <c r="H324" i="16"/>
  <c r="H325" i="16"/>
  <c r="H326" i="16"/>
  <c r="H327" i="16"/>
  <c r="H328" i="16"/>
  <c r="H329" i="16"/>
  <c r="H330" i="16"/>
  <c r="H331" i="16"/>
  <c r="H332" i="16"/>
  <c r="H333" i="16"/>
  <c r="H334" i="16"/>
  <c r="H335" i="16"/>
  <c r="H336" i="16"/>
  <c r="H337" i="16"/>
  <c r="H338" i="16"/>
  <c r="H339" i="16"/>
  <c r="H340" i="16"/>
  <c r="H341" i="16"/>
  <c r="H342" i="16"/>
  <c r="H343" i="16"/>
  <c r="H344" i="16"/>
  <c r="H345" i="16"/>
  <c r="H346" i="16"/>
  <c r="H347" i="16"/>
  <c r="H348" i="16"/>
  <c r="H349" i="16"/>
  <c r="H350" i="16"/>
  <c r="H351" i="16"/>
  <c r="H352" i="16"/>
  <c r="H353" i="16"/>
  <c r="H354" i="16"/>
  <c r="H355" i="16"/>
  <c r="H356" i="16"/>
  <c r="H357" i="16"/>
  <c r="H358" i="16"/>
  <c r="H359" i="16"/>
  <c r="H360" i="16"/>
  <c r="H361" i="16"/>
  <c r="H362" i="16"/>
  <c r="H363" i="16"/>
  <c r="H364" i="16"/>
  <c r="H365" i="16"/>
  <c r="H366" i="16"/>
  <c r="H367" i="16"/>
  <c r="H368" i="16"/>
  <c r="H369" i="16"/>
  <c r="H370" i="16"/>
  <c r="H371" i="16"/>
  <c r="H372" i="16"/>
  <c r="H373" i="16"/>
  <c r="H374" i="16"/>
  <c r="H375" i="16"/>
  <c r="H376" i="16"/>
  <c r="H377" i="16"/>
  <c r="H378" i="16"/>
  <c r="H379" i="16"/>
  <c r="H380" i="16"/>
  <c r="H381" i="16"/>
  <c r="H382" i="16"/>
  <c r="H383" i="16"/>
  <c r="H384" i="16"/>
  <c r="H385" i="16"/>
  <c r="H386" i="16"/>
  <c r="H387" i="16"/>
  <c r="H388" i="16"/>
  <c r="H389" i="16"/>
  <c r="H390" i="16"/>
  <c r="H391" i="16"/>
  <c r="H392" i="16"/>
  <c r="H393" i="16"/>
  <c r="H394" i="16"/>
  <c r="H395" i="16"/>
  <c r="H396" i="16"/>
  <c r="H397" i="16"/>
  <c r="H398" i="16"/>
  <c r="H399" i="16"/>
  <c r="H400" i="16"/>
  <c r="H401" i="16"/>
  <c r="H402" i="16"/>
  <c r="H403" i="16"/>
  <c r="H404" i="16"/>
  <c r="H405" i="16"/>
  <c r="H406" i="16"/>
  <c r="H407" i="16"/>
  <c r="H408" i="16"/>
  <c r="H409" i="16"/>
  <c r="H410" i="16"/>
  <c r="H411" i="16"/>
  <c r="H412" i="16"/>
  <c r="H413" i="16"/>
  <c r="H414" i="16"/>
  <c r="H415" i="16"/>
  <c r="H416" i="16"/>
  <c r="H417" i="16"/>
  <c r="H418" i="16"/>
  <c r="H419" i="16"/>
  <c r="H420" i="16"/>
  <c r="H421" i="16"/>
  <c r="H422" i="16"/>
  <c r="H423" i="16"/>
  <c r="H424" i="16"/>
  <c r="H425" i="16"/>
  <c r="H426" i="16"/>
  <c r="H427" i="16"/>
  <c r="H428" i="16"/>
  <c r="H429" i="16"/>
  <c r="H430" i="16"/>
  <c r="H431" i="16"/>
  <c r="H432" i="16"/>
  <c r="H433" i="16"/>
  <c r="H434" i="16"/>
  <c r="H435" i="16"/>
  <c r="H436" i="16"/>
  <c r="H437" i="16"/>
  <c r="H438" i="16"/>
  <c r="H439" i="16"/>
  <c r="H440" i="16"/>
  <c r="H441" i="16"/>
  <c r="H442" i="16"/>
  <c r="H443" i="16"/>
  <c r="H444" i="16"/>
  <c r="H445" i="16"/>
  <c r="H446" i="16"/>
  <c r="H447" i="16"/>
  <c r="H448" i="16"/>
  <c r="H449" i="16"/>
  <c r="H450" i="16"/>
  <c r="H451" i="16"/>
  <c r="H452" i="16"/>
  <c r="H453" i="16"/>
  <c r="H454" i="16"/>
  <c r="H455" i="16"/>
  <c r="H456" i="16"/>
  <c r="H457" i="16"/>
  <c r="H458" i="16"/>
  <c r="H459" i="16"/>
  <c r="H460" i="16"/>
  <c r="H461" i="16"/>
  <c r="H462" i="16"/>
  <c r="H463" i="16"/>
  <c r="H464" i="16"/>
  <c r="H465" i="16"/>
  <c r="H466" i="16"/>
  <c r="H467" i="16"/>
  <c r="H468" i="16"/>
  <c r="H469" i="16"/>
  <c r="H470" i="16"/>
  <c r="H471" i="16"/>
  <c r="H472" i="16"/>
  <c r="H473" i="16"/>
  <c r="H474" i="16"/>
  <c r="H475" i="16"/>
  <c r="H476" i="16"/>
  <c r="H477" i="16"/>
  <c r="H478" i="16"/>
  <c r="H479" i="16"/>
  <c r="H480" i="16"/>
  <c r="H481" i="16"/>
  <c r="H482" i="16"/>
  <c r="H483" i="16"/>
  <c r="H484" i="16"/>
  <c r="H485" i="16"/>
  <c r="H486" i="16"/>
  <c r="H487" i="16"/>
  <c r="H488" i="16"/>
  <c r="H489" i="16"/>
  <c r="H490" i="16"/>
  <c r="H491" i="16"/>
  <c r="H492" i="16"/>
  <c r="H493" i="16"/>
  <c r="H494" i="16"/>
  <c r="H495" i="16"/>
  <c r="H496" i="16"/>
  <c r="H497" i="16"/>
  <c r="H498" i="16"/>
  <c r="H499" i="16"/>
  <c r="H500" i="16"/>
  <c r="G2" i="16"/>
  <c r="G3" i="16"/>
  <c r="G4" i="16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G202" i="16"/>
  <c r="G203" i="16"/>
  <c r="G204" i="16"/>
  <c r="G205" i="16"/>
  <c r="G206" i="16"/>
  <c r="G207" i="16"/>
  <c r="G208" i="16"/>
  <c r="G209" i="16"/>
  <c r="G210" i="16"/>
  <c r="G211" i="16"/>
  <c r="G212" i="16"/>
  <c r="G213" i="16"/>
  <c r="G214" i="16"/>
  <c r="G215" i="16"/>
  <c r="G216" i="16"/>
  <c r="G217" i="16"/>
  <c r="G218" i="16"/>
  <c r="G219" i="16"/>
  <c r="G220" i="16"/>
  <c r="G221" i="16"/>
  <c r="G222" i="16"/>
  <c r="G223" i="16"/>
  <c r="G224" i="16"/>
  <c r="G225" i="16"/>
  <c r="G226" i="16"/>
  <c r="G227" i="16"/>
  <c r="G228" i="16"/>
  <c r="G229" i="16"/>
  <c r="G230" i="16"/>
  <c r="G231" i="16"/>
  <c r="G232" i="16"/>
  <c r="G233" i="16"/>
  <c r="G234" i="16"/>
  <c r="G235" i="16"/>
  <c r="G236" i="16"/>
  <c r="G237" i="16"/>
  <c r="G238" i="16"/>
  <c r="G239" i="16"/>
  <c r="G240" i="16"/>
  <c r="G241" i="16"/>
  <c r="G242" i="16"/>
  <c r="G243" i="16"/>
  <c r="G244" i="16"/>
  <c r="G245" i="16"/>
  <c r="G246" i="16"/>
  <c r="G247" i="16"/>
  <c r="G248" i="16"/>
  <c r="G249" i="16"/>
  <c r="G250" i="16"/>
  <c r="G251" i="16"/>
  <c r="G252" i="16"/>
  <c r="G253" i="16"/>
  <c r="G254" i="16"/>
  <c r="G255" i="16"/>
  <c r="G256" i="16"/>
  <c r="G257" i="16"/>
  <c r="G258" i="16"/>
  <c r="G259" i="16"/>
  <c r="G260" i="16"/>
  <c r="G261" i="16"/>
  <c r="G262" i="16"/>
  <c r="G263" i="16"/>
  <c r="G264" i="16"/>
  <c r="G265" i="16"/>
  <c r="G266" i="16"/>
  <c r="G267" i="16"/>
  <c r="G268" i="16"/>
  <c r="G269" i="16"/>
  <c r="G270" i="16"/>
  <c r="G271" i="16"/>
  <c r="G272" i="16"/>
  <c r="G273" i="16"/>
  <c r="G274" i="16"/>
  <c r="G275" i="16"/>
  <c r="G276" i="16"/>
  <c r="G277" i="16"/>
  <c r="G278" i="16"/>
  <c r="G279" i="16"/>
  <c r="G280" i="16"/>
  <c r="G281" i="16"/>
  <c r="G282" i="16"/>
  <c r="G283" i="16"/>
  <c r="G284" i="16"/>
  <c r="G285" i="16"/>
  <c r="G286" i="16"/>
  <c r="G287" i="16"/>
  <c r="G288" i="16"/>
  <c r="G289" i="16"/>
  <c r="G290" i="16"/>
  <c r="G291" i="16"/>
  <c r="G292" i="16"/>
  <c r="G293" i="16"/>
  <c r="G294" i="16"/>
  <c r="G295" i="16"/>
  <c r="G296" i="16"/>
  <c r="G297" i="16"/>
  <c r="G298" i="16"/>
  <c r="G299" i="16"/>
  <c r="G300" i="16"/>
  <c r="G301" i="16"/>
  <c r="G302" i="16"/>
  <c r="G303" i="16"/>
  <c r="G304" i="16"/>
  <c r="G305" i="16"/>
  <c r="G306" i="16"/>
  <c r="G307" i="16"/>
  <c r="G308" i="16"/>
  <c r="G309" i="16"/>
  <c r="G310" i="16"/>
  <c r="G311" i="16"/>
  <c r="G312" i="16"/>
  <c r="G313" i="16"/>
  <c r="G314" i="16"/>
  <c r="G315" i="16"/>
  <c r="G316" i="16"/>
  <c r="G317" i="16"/>
  <c r="G318" i="16"/>
  <c r="G319" i="16"/>
  <c r="G320" i="16"/>
  <c r="G321" i="16"/>
  <c r="G322" i="16"/>
  <c r="G323" i="16"/>
  <c r="G324" i="16"/>
  <c r="G325" i="16"/>
  <c r="G326" i="16"/>
  <c r="G327" i="16"/>
  <c r="G328" i="16"/>
  <c r="G329" i="16"/>
  <c r="G330" i="16"/>
  <c r="G331" i="16"/>
  <c r="G332" i="16"/>
  <c r="G333" i="16"/>
  <c r="G334" i="16"/>
  <c r="G335" i="16"/>
  <c r="G336" i="16"/>
  <c r="G337" i="16"/>
  <c r="G338" i="16"/>
  <c r="G339" i="16"/>
  <c r="G340" i="16"/>
  <c r="G341" i="16"/>
  <c r="G342" i="16"/>
  <c r="G343" i="16"/>
  <c r="G344" i="16"/>
  <c r="G345" i="16"/>
  <c r="G346" i="16"/>
  <c r="G347" i="16"/>
  <c r="G348" i="16"/>
  <c r="G349" i="16"/>
  <c r="G350" i="16"/>
  <c r="G351" i="16"/>
  <c r="G352" i="16"/>
  <c r="G353" i="16"/>
  <c r="G354" i="16"/>
  <c r="G355" i="16"/>
  <c r="G356" i="16"/>
  <c r="G357" i="16"/>
  <c r="G358" i="16"/>
  <c r="G359" i="16"/>
  <c r="G360" i="16"/>
  <c r="G361" i="16"/>
  <c r="G362" i="16"/>
  <c r="G363" i="16"/>
  <c r="G364" i="16"/>
  <c r="G365" i="16"/>
  <c r="G366" i="16"/>
  <c r="G367" i="16"/>
  <c r="G368" i="16"/>
  <c r="G369" i="16"/>
  <c r="G370" i="16"/>
  <c r="G371" i="16"/>
  <c r="G372" i="16"/>
  <c r="G373" i="16"/>
  <c r="G374" i="16"/>
  <c r="G375" i="16"/>
  <c r="G376" i="16"/>
  <c r="G377" i="16"/>
  <c r="G378" i="16"/>
  <c r="G379" i="16"/>
  <c r="G380" i="16"/>
  <c r="G381" i="16"/>
  <c r="G382" i="16"/>
  <c r="G383" i="16"/>
  <c r="G384" i="16"/>
  <c r="G385" i="16"/>
  <c r="G386" i="16"/>
  <c r="G387" i="16"/>
  <c r="G388" i="16"/>
  <c r="G389" i="16"/>
  <c r="G390" i="16"/>
  <c r="G391" i="16"/>
  <c r="G392" i="16"/>
  <c r="G393" i="16"/>
  <c r="G394" i="16"/>
  <c r="G395" i="16"/>
  <c r="G396" i="16"/>
  <c r="G397" i="16"/>
  <c r="G398" i="16"/>
  <c r="G399" i="16"/>
  <c r="G400" i="16"/>
  <c r="G401" i="16"/>
  <c r="G402" i="16"/>
  <c r="G403" i="16"/>
  <c r="G404" i="16"/>
  <c r="G405" i="16"/>
  <c r="G406" i="16"/>
  <c r="G407" i="16"/>
  <c r="G408" i="16"/>
  <c r="G409" i="16"/>
  <c r="G410" i="16"/>
  <c r="G411" i="16"/>
  <c r="G412" i="16"/>
  <c r="G413" i="16"/>
  <c r="G414" i="16"/>
  <c r="G415" i="16"/>
  <c r="G416" i="16"/>
  <c r="G417" i="16"/>
  <c r="G418" i="16"/>
  <c r="G419" i="16"/>
  <c r="G420" i="16"/>
  <c r="G421" i="16"/>
  <c r="G422" i="16"/>
  <c r="G423" i="16"/>
  <c r="G424" i="16"/>
  <c r="G425" i="16"/>
  <c r="G426" i="16"/>
  <c r="G427" i="16"/>
  <c r="G428" i="16"/>
  <c r="G429" i="16"/>
  <c r="G430" i="16"/>
  <c r="G431" i="16"/>
  <c r="G432" i="16"/>
  <c r="G433" i="16"/>
  <c r="G434" i="16"/>
  <c r="G435" i="16"/>
  <c r="G436" i="16"/>
  <c r="G437" i="16"/>
  <c r="G438" i="16"/>
  <c r="G439" i="16"/>
  <c r="G440" i="16"/>
  <c r="G441" i="16"/>
  <c r="G442" i="16"/>
  <c r="G443" i="16"/>
  <c r="G444" i="16"/>
  <c r="G445" i="16"/>
  <c r="G446" i="16"/>
  <c r="G447" i="16"/>
  <c r="G448" i="16"/>
  <c r="G449" i="16"/>
  <c r="G450" i="16"/>
  <c r="G451" i="16"/>
  <c r="G452" i="16"/>
  <c r="G453" i="16"/>
  <c r="G454" i="16"/>
  <c r="G455" i="16"/>
  <c r="G456" i="16"/>
  <c r="G457" i="16"/>
  <c r="G458" i="16"/>
  <c r="G459" i="16"/>
  <c r="G460" i="16"/>
  <c r="G461" i="16"/>
  <c r="G462" i="16"/>
  <c r="G463" i="16"/>
  <c r="G464" i="16"/>
  <c r="G465" i="16"/>
  <c r="G466" i="16"/>
  <c r="G467" i="16"/>
  <c r="G468" i="16"/>
  <c r="G469" i="16"/>
  <c r="G470" i="16"/>
  <c r="G471" i="16"/>
  <c r="G472" i="16"/>
  <c r="G473" i="16"/>
  <c r="G474" i="16"/>
  <c r="G475" i="16"/>
  <c r="G476" i="16"/>
  <c r="G477" i="16"/>
  <c r="G478" i="16"/>
  <c r="G479" i="16"/>
  <c r="G480" i="16"/>
  <c r="G481" i="16"/>
  <c r="G482" i="16"/>
  <c r="G483" i="16"/>
  <c r="G484" i="16"/>
  <c r="G485" i="16"/>
  <c r="G486" i="16"/>
  <c r="G487" i="16"/>
  <c r="G488" i="16"/>
  <c r="G489" i="16"/>
  <c r="G490" i="16"/>
  <c r="G491" i="16"/>
  <c r="G492" i="16"/>
  <c r="G493" i="16"/>
  <c r="G494" i="16"/>
  <c r="G495" i="16"/>
  <c r="G496" i="16"/>
  <c r="G497" i="16"/>
  <c r="G498" i="16"/>
  <c r="G499" i="16"/>
  <c r="G500" i="16"/>
  <c r="F2" i="16"/>
  <c r="F3" i="16"/>
  <c r="F4" i="16"/>
  <c r="F5" i="16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72" i="16"/>
  <c r="F73" i="16"/>
  <c r="F74" i="16"/>
  <c r="F75" i="16"/>
  <c r="F76" i="16"/>
  <c r="F77" i="16"/>
  <c r="F78" i="16"/>
  <c r="F79" i="16"/>
  <c r="F80" i="16"/>
  <c r="F81" i="16"/>
  <c r="F82" i="16"/>
  <c r="F83" i="16"/>
  <c r="F84" i="16"/>
  <c r="F85" i="16"/>
  <c r="F86" i="16"/>
  <c r="F87" i="16"/>
  <c r="F88" i="16"/>
  <c r="F89" i="16"/>
  <c r="F90" i="16"/>
  <c r="F91" i="16"/>
  <c r="F92" i="16"/>
  <c r="F93" i="16"/>
  <c r="F94" i="16"/>
  <c r="F95" i="16"/>
  <c r="F96" i="16"/>
  <c r="F97" i="16"/>
  <c r="F98" i="16"/>
  <c r="F99" i="16"/>
  <c r="F100" i="16"/>
  <c r="F101" i="16"/>
  <c r="F102" i="16"/>
  <c r="F103" i="16"/>
  <c r="F104" i="16"/>
  <c r="F105" i="16"/>
  <c r="F106" i="16"/>
  <c r="F107" i="16"/>
  <c r="F108" i="16"/>
  <c r="F109" i="16"/>
  <c r="F110" i="16"/>
  <c r="F111" i="16"/>
  <c r="F112" i="16"/>
  <c r="F113" i="16"/>
  <c r="F114" i="16"/>
  <c r="F115" i="16"/>
  <c r="F116" i="16"/>
  <c r="F117" i="16"/>
  <c r="F118" i="16"/>
  <c r="F119" i="16"/>
  <c r="F120" i="16"/>
  <c r="F121" i="16"/>
  <c r="F122" i="16"/>
  <c r="F123" i="16"/>
  <c r="F124" i="16"/>
  <c r="F125" i="16"/>
  <c r="F126" i="16"/>
  <c r="F127" i="16"/>
  <c r="F128" i="16"/>
  <c r="F129" i="16"/>
  <c r="F130" i="16"/>
  <c r="F131" i="16"/>
  <c r="F132" i="16"/>
  <c r="F133" i="16"/>
  <c r="F134" i="16"/>
  <c r="F135" i="16"/>
  <c r="F136" i="16"/>
  <c r="F137" i="16"/>
  <c r="F138" i="16"/>
  <c r="F139" i="16"/>
  <c r="F140" i="16"/>
  <c r="F141" i="16"/>
  <c r="F142" i="16"/>
  <c r="F143" i="16"/>
  <c r="F144" i="16"/>
  <c r="F145" i="16"/>
  <c r="F146" i="16"/>
  <c r="F147" i="16"/>
  <c r="F148" i="16"/>
  <c r="F149" i="16"/>
  <c r="F150" i="16"/>
  <c r="F151" i="16"/>
  <c r="F152" i="16"/>
  <c r="F153" i="16"/>
  <c r="F154" i="16"/>
  <c r="F155" i="16"/>
  <c r="F156" i="16"/>
  <c r="F157" i="16"/>
  <c r="F158" i="16"/>
  <c r="F159" i="16"/>
  <c r="F160" i="16"/>
  <c r="F161" i="16"/>
  <c r="F162" i="16"/>
  <c r="F163" i="16"/>
  <c r="F164" i="16"/>
  <c r="F165" i="16"/>
  <c r="F166" i="16"/>
  <c r="F167" i="16"/>
  <c r="F168" i="16"/>
  <c r="F169" i="16"/>
  <c r="F170" i="16"/>
  <c r="F171" i="16"/>
  <c r="F172" i="16"/>
  <c r="F173" i="16"/>
  <c r="F174" i="16"/>
  <c r="F175" i="16"/>
  <c r="F176" i="16"/>
  <c r="F177" i="16"/>
  <c r="F178" i="16"/>
  <c r="F179" i="16"/>
  <c r="F180" i="16"/>
  <c r="F181" i="16"/>
  <c r="F182" i="16"/>
  <c r="F183" i="16"/>
  <c r="F184" i="16"/>
  <c r="F185" i="16"/>
  <c r="F186" i="16"/>
  <c r="F187" i="16"/>
  <c r="F188" i="16"/>
  <c r="F189" i="16"/>
  <c r="F190" i="16"/>
  <c r="F191" i="16"/>
  <c r="F192" i="16"/>
  <c r="F193" i="16"/>
  <c r="F194" i="16"/>
  <c r="F195" i="16"/>
  <c r="F196" i="16"/>
  <c r="F197" i="16"/>
  <c r="F198" i="16"/>
  <c r="F199" i="16"/>
  <c r="F200" i="16"/>
  <c r="F201" i="16"/>
  <c r="F202" i="16"/>
  <c r="F203" i="16"/>
  <c r="F204" i="16"/>
  <c r="F205" i="16"/>
  <c r="F206" i="16"/>
  <c r="F207" i="16"/>
  <c r="F208" i="16"/>
  <c r="F209" i="16"/>
  <c r="F210" i="16"/>
  <c r="F211" i="16"/>
  <c r="F212" i="16"/>
  <c r="F213" i="16"/>
  <c r="F214" i="16"/>
  <c r="F215" i="16"/>
  <c r="F216" i="16"/>
  <c r="F217" i="16"/>
  <c r="F218" i="16"/>
  <c r="F219" i="16"/>
  <c r="F220" i="16"/>
  <c r="F221" i="16"/>
  <c r="F222" i="16"/>
  <c r="F223" i="16"/>
  <c r="F224" i="16"/>
  <c r="F225" i="16"/>
  <c r="F226" i="16"/>
  <c r="F227" i="16"/>
  <c r="F228" i="16"/>
  <c r="F229" i="16"/>
  <c r="F230" i="16"/>
  <c r="F231" i="16"/>
  <c r="F232" i="16"/>
  <c r="F233" i="16"/>
  <c r="F234" i="16"/>
  <c r="F235" i="16"/>
  <c r="F236" i="16"/>
  <c r="F237" i="16"/>
  <c r="F238" i="16"/>
  <c r="F239" i="16"/>
  <c r="F240" i="16"/>
  <c r="F241" i="16"/>
  <c r="F242" i="16"/>
  <c r="F243" i="16"/>
  <c r="F244" i="16"/>
  <c r="F245" i="16"/>
  <c r="F246" i="16"/>
  <c r="F247" i="16"/>
  <c r="F248" i="16"/>
  <c r="F249" i="16"/>
  <c r="F250" i="16"/>
  <c r="F251" i="16"/>
  <c r="F252" i="16"/>
  <c r="F253" i="16"/>
  <c r="F254" i="16"/>
  <c r="F255" i="16"/>
  <c r="F256" i="16"/>
  <c r="F257" i="16"/>
  <c r="F258" i="16"/>
  <c r="F259" i="16"/>
  <c r="F260" i="16"/>
  <c r="F261" i="16"/>
  <c r="F262" i="16"/>
  <c r="F263" i="16"/>
  <c r="F264" i="16"/>
  <c r="F265" i="16"/>
  <c r="F266" i="16"/>
  <c r="F267" i="16"/>
  <c r="F268" i="16"/>
  <c r="F269" i="16"/>
  <c r="F270" i="16"/>
  <c r="F271" i="16"/>
  <c r="F272" i="16"/>
  <c r="F273" i="16"/>
  <c r="F274" i="16"/>
  <c r="F275" i="16"/>
  <c r="F276" i="16"/>
  <c r="F277" i="16"/>
  <c r="F278" i="16"/>
  <c r="F279" i="16"/>
  <c r="F280" i="16"/>
  <c r="F281" i="16"/>
  <c r="F282" i="16"/>
  <c r="F283" i="16"/>
  <c r="F284" i="16"/>
  <c r="F285" i="16"/>
  <c r="F286" i="16"/>
  <c r="F287" i="16"/>
  <c r="F288" i="16"/>
  <c r="F289" i="16"/>
  <c r="F290" i="16"/>
  <c r="F291" i="16"/>
  <c r="F292" i="16"/>
  <c r="F293" i="16"/>
  <c r="F294" i="16"/>
  <c r="F295" i="16"/>
  <c r="F296" i="16"/>
  <c r="F297" i="16"/>
  <c r="F298" i="16"/>
  <c r="F299" i="16"/>
  <c r="F300" i="16"/>
  <c r="F301" i="16"/>
  <c r="F302" i="16"/>
  <c r="F303" i="16"/>
  <c r="F304" i="16"/>
  <c r="F305" i="16"/>
  <c r="F306" i="16"/>
  <c r="F307" i="16"/>
  <c r="F308" i="16"/>
  <c r="F309" i="16"/>
  <c r="F310" i="16"/>
  <c r="F311" i="16"/>
  <c r="F312" i="16"/>
  <c r="F313" i="16"/>
  <c r="F314" i="16"/>
  <c r="F315" i="16"/>
  <c r="F316" i="16"/>
  <c r="F317" i="16"/>
  <c r="F318" i="16"/>
  <c r="F319" i="16"/>
  <c r="F320" i="16"/>
  <c r="F321" i="16"/>
  <c r="F322" i="16"/>
  <c r="F323" i="16"/>
  <c r="F324" i="16"/>
  <c r="F325" i="16"/>
  <c r="F326" i="16"/>
  <c r="F327" i="16"/>
  <c r="F328" i="16"/>
  <c r="F329" i="16"/>
  <c r="F330" i="16"/>
  <c r="F331" i="16"/>
  <c r="F332" i="16"/>
  <c r="F333" i="16"/>
  <c r="F334" i="16"/>
  <c r="F335" i="16"/>
  <c r="F336" i="16"/>
  <c r="F337" i="16"/>
  <c r="F338" i="16"/>
  <c r="F339" i="16"/>
  <c r="F340" i="16"/>
  <c r="F341" i="16"/>
  <c r="F342" i="16"/>
  <c r="F343" i="16"/>
  <c r="F344" i="16"/>
  <c r="F345" i="16"/>
  <c r="F346" i="16"/>
  <c r="F347" i="16"/>
  <c r="F348" i="16"/>
  <c r="F349" i="16"/>
  <c r="F350" i="16"/>
  <c r="F351" i="16"/>
  <c r="F352" i="16"/>
  <c r="F353" i="16"/>
  <c r="F354" i="16"/>
  <c r="F355" i="16"/>
  <c r="F356" i="16"/>
  <c r="F357" i="16"/>
  <c r="F358" i="16"/>
  <c r="F359" i="16"/>
  <c r="F360" i="16"/>
  <c r="F361" i="16"/>
  <c r="F362" i="16"/>
  <c r="F363" i="16"/>
  <c r="F364" i="16"/>
  <c r="F365" i="16"/>
  <c r="F366" i="16"/>
  <c r="F367" i="16"/>
  <c r="F368" i="16"/>
  <c r="F369" i="16"/>
  <c r="F370" i="16"/>
  <c r="F371" i="16"/>
  <c r="F372" i="16"/>
  <c r="F373" i="16"/>
  <c r="F374" i="16"/>
  <c r="F375" i="16"/>
  <c r="F376" i="16"/>
  <c r="F377" i="16"/>
  <c r="F378" i="16"/>
  <c r="F379" i="16"/>
  <c r="F380" i="16"/>
  <c r="F381" i="16"/>
  <c r="F382" i="16"/>
  <c r="F383" i="16"/>
  <c r="F384" i="16"/>
  <c r="F385" i="16"/>
  <c r="F386" i="16"/>
  <c r="F387" i="16"/>
  <c r="F388" i="16"/>
  <c r="F389" i="16"/>
  <c r="F390" i="16"/>
  <c r="F391" i="16"/>
  <c r="F392" i="16"/>
  <c r="F393" i="16"/>
  <c r="F394" i="16"/>
  <c r="F395" i="16"/>
  <c r="F396" i="16"/>
  <c r="F397" i="16"/>
  <c r="F398" i="16"/>
  <c r="F399" i="16"/>
  <c r="F400" i="16"/>
  <c r="F401" i="16"/>
  <c r="F402" i="16"/>
  <c r="F403" i="16"/>
  <c r="F404" i="16"/>
  <c r="F405" i="16"/>
  <c r="F406" i="16"/>
  <c r="F407" i="16"/>
  <c r="F408" i="16"/>
  <c r="F409" i="16"/>
  <c r="F410" i="16"/>
  <c r="F411" i="16"/>
  <c r="F412" i="16"/>
  <c r="F413" i="16"/>
  <c r="F414" i="16"/>
  <c r="F415" i="16"/>
  <c r="F416" i="16"/>
  <c r="F417" i="16"/>
  <c r="F418" i="16"/>
  <c r="F419" i="16"/>
  <c r="F420" i="16"/>
  <c r="F421" i="16"/>
  <c r="F422" i="16"/>
  <c r="F423" i="16"/>
  <c r="F424" i="16"/>
  <c r="F425" i="16"/>
  <c r="F426" i="16"/>
  <c r="F427" i="16"/>
  <c r="F428" i="16"/>
  <c r="F429" i="16"/>
  <c r="F430" i="16"/>
  <c r="F431" i="16"/>
  <c r="F432" i="16"/>
  <c r="F433" i="16"/>
  <c r="F434" i="16"/>
  <c r="F435" i="16"/>
  <c r="F436" i="16"/>
  <c r="F437" i="16"/>
  <c r="F438" i="16"/>
  <c r="F439" i="16"/>
  <c r="F440" i="16"/>
  <c r="F441" i="16"/>
  <c r="F442" i="16"/>
  <c r="F443" i="16"/>
  <c r="F444" i="16"/>
  <c r="F445" i="16"/>
  <c r="F446" i="16"/>
  <c r="F447" i="16"/>
  <c r="F448" i="16"/>
  <c r="F449" i="16"/>
  <c r="F450" i="16"/>
  <c r="F451" i="16"/>
  <c r="F452" i="16"/>
  <c r="F453" i="16"/>
  <c r="F454" i="16"/>
  <c r="F455" i="16"/>
  <c r="F456" i="16"/>
  <c r="F457" i="16"/>
  <c r="F458" i="16"/>
  <c r="F459" i="16"/>
  <c r="F460" i="16"/>
  <c r="F461" i="16"/>
  <c r="F462" i="16"/>
  <c r="F463" i="16"/>
  <c r="F464" i="16"/>
  <c r="F465" i="16"/>
  <c r="F466" i="16"/>
  <c r="F467" i="16"/>
  <c r="F468" i="16"/>
  <c r="F469" i="16"/>
  <c r="F470" i="16"/>
  <c r="F471" i="16"/>
  <c r="F472" i="16"/>
  <c r="F473" i="16"/>
  <c r="F474" i="16"/>
  <c r="F475" i="16"/>
  <c r="F476" i="16"/>
  <c r="F477" i="16"/>
  <c r="F478" i="16"/>
  <c r="F479" i="16"/>
  <c r="F480" i="16"/>
  <c r="F481" i="16"/>
  <c r="F482" i="16"/>
  <c r="F483" i="16"/>
  <c r="F484" i="16"/>
  <c r="F485" i="16"/>
  <c r="F486" i="16"/>
  <c r="F487" i="16"/>
  <c r="F488" i="16"/>
  <c r="F489" i="16"/>
  <c r="F490" i="16"/>
  <c r="F491" i="16"/>
  <c r="F492" i="16"/>
  <c r="F493" i="16"/>
  <c r="F494" i="16"/>
  <c r="F495" i="16"/>
  <c r="F496" i="16"/>
  <c r="F497" i="16"/>
  <c r="F498" i="16"/>
  <c r="F499" i="16"/>
  <c r="F500" i="16"/>
  <c r="E2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88" i="16"/>
  <c r="E189" i="16"/>
  <c r="E190" i="16"/>
  <c r="E191" i="16"/>
  <c r="E192" i="16"/>
  <c r="E193" i="16"/>
  <c r="E194" i="16"/>
  <c r="E195" i="16"/>
  <c r="E196" i="16"/>
  <c r="E197" i="16"/>
  <c r="E198" i="16"/>
  <c r="E199" i="16"/>
  <c r="E200" i="16"/>
  <c r="E201" i="16"/>
  <c r="E202" i="16"/>
  <c r="E203" i="16"/>
  <c r="E204" i="16"/>
  <c r="E205" i="16"/>
  <c r="E206" i="16"/>
  <c r="E207" i="16"/>
  <c r="E208" i="16"/>
  <c r="E209" i="16"/>
  <c r="E210" i="16"/>
  <c r="E211" i="16"/>
  <c r="E212" i="16"/>
  <c r="E213" i="16"/>
  <c r="E214" i="16"/>
  <c r="E215" i="16"/>
  <c r="E216" i="16"/>
  <c r="E217" i="16"/>
  <c r="E218" i="16"/>
  <c r="E219" i="16"/>
  <c r="E220" i="16"/>
  <c r="E221" i="16"/>
  <c r="E222" i="16"/>
  <c r="E223" i="16"/>
  <c r="E224" i="16"/>
  <c r="E225" i="16"/>
  <c r="E226" i="16"/>
  <c r="E227" i="16"/>
  <c r="E228" i="16"/>
  <c r="E229" i="16"/>
  <c r="E230" i="16"/>
  <c r="E231" i="16"/>
  <c r="E232" i="16"/>
  <c r="E233" i="16"/>
  <c r="E234" i="16"/>
  <c r="E235" i="16"/>
  <c r="E236" i="16"/>
  <c r="E237" i="16"/>
  <c r="E238" i="16"/>
  <c r="E239" i="16"/>
  <c r="E240" i="16"/>
  <c r="E241" i="16"/>
  <c r="E242" i="16"/>
  <c r="E243" i="16"/>
  <c r="E244" i="16"/>
  <c r="E245" i="16"/>
  <c r="E246" i="16"/>
  <c r="E247" i="16"/>
  <c r="E248" i="16"/>
  <c r="E249" i="16"/>
  <c r="E250" i="16"/>
  <c r="E251" i="16"/>
  <c r="E252" i="16"/>
  <c r="E253" i="16"/>
  <c r="E254" i="16"/>
  <c r="E255" i="16"/>
  <c r="E256" i="16"/>
  <c r="E257" i="16"/>
  <c r="E258" i="16"/>
  <c r="E259" i="16"/>
  <c r="E260" i="16"/>
  <c r="E261" i="16"/>
  <c r="E262" i="16"/>
  <c r="E263" i="16"/>
  <c r="E264" i="16"/>
  <c r="E265" i="16"/>
  <c r="E266" i="16"/>
  <c r="E267" i="16"/>
  <c r="E268" i="16"/>
  <c r="E269" i="16"/>
  <c r="E270" i="16"/>
  <c r="E271" i="16"/>
  <c r="E272" i="16"/>
  <c r="E273" i="16"/>
  <c r="E274" i="16"/>
  <c r="E275" i="16"/>
  <c r="E276" i="16"/>
  <c r="E277" i="16"/>
  <c r="E278" i="16"/>
  <c r="E279" i="16"/>
  <c r="E280" i="16"/>
  <c r="E281" i="16"/>
  <c r="E282" i="16"/>
  <c r="E283" i="16"/>
  <c r="E284" i="16"/>
  <c r="E285" i="16"/>
  <c r="E286" i="16"/>
  <c r="E287" i="16"/>
  <c r="E288" i="16"/>
  <c r="E289" i="16"/>
  <c r="E290" i="16"/>
  <c r="E291" i="16"/>
  <c r="E292" i="16"/>
  <c r="E293" i="16"/>
  <c r="E294" i="16"/>
  <c r="E295" i="16"/>
  <c r="E296" i="16"/>
  <c r="E297" i="16"/>
  <c r="E298" i="16"/>
  <c r="E299" i="16"/>
  <c r="E300" i="16"/>
  <c r="E301" i="16"/>
  <c r="E302" i="16"/>
  <c r="E303" i="16"/>
  <c r="E304" i="16"/>
  <c r="E305" i="16"/>
  <c r="E306" i="16"/>
  <c r="E307" i="16"/>
  <c r="E308" i="16"/>
  <c r="E309" i="16"/>
  <c r="E310" i="16"/>
  <c r="E311" i="16"/>
  <c r="E312" i="16"/>
  <c r="E313" i="16"/>
  <c r="E314" i="16"/>
  <c r="E315" i="16"/>
  <c r="E316" i="16"/>
  <c r="E317" i="16"/>
  <c r="E318" i="16"/>
  <c r="E319" i="16"/>
  <c r="E320" i="16"/>
  <c r="E321" i="16"/>
  <c r="E322" i="16"/>
  <c r="E323" i="16"/>
  <c r="E324" i="16"/>
  <c r="E325" i="16"/>
  <c r="E326" i="16"/>
  <c r="E327" i="16"/>
  <c r="E328" i="16"/>
  <c r="E329" i="16"/>
  <c r="E330" i="16"/>
  <c r="E331" i="16"/>
  <c r="E332" i="16"/>
  <c r="E333" i="16"/>
  <c r="E334" i="16"/>
  <c r="E335" i="16"/>
  <c r="E336" i="16"/>
  <c r="E337" i="16"/>
  <c r="E338" i="16"/>
  <c r="E339" i="16"/>
  <c r="E340" i="16"/>
  <c r="E341" i="16"/>
  <c r="E342" i="16"/>
  <c r="E343" i="16"/>
  <c r="E344" i="16"/>
  <c r="E345" i="16"/>
  <c r="E346" i="16"/>
  <c r="E347" i="16"/>
  <c r="E348" i="16"/>
  <c r="E349" i="16"/>
  <c r="E350" i="16"/>
  <c r="E351" i="16"/>
  <c r="E352" i="16"/>
  <c r="E353" i="16"/>
  <c r="E354" i="16"/>
  <c r="E355" i="16"/>
  <c r="E356" i="16"/>
  <c r="E357" i="16"/>
  <c r="E358" i="16"/>
  <c r="E359" i="16"/>
  <c r="E360" i="16"/>
  <c r="E361" i="16"/>
  <c r="E362" i="16"/>
  <c r="E363" i="16"/>
  <c r="E364" i="16"/>
  <c r="E365" i="16"/>
  <c r="E366" i="16"/>
  <c r="E367" i="16"/>
  <c r="E368" i="16"/>
  <c r="E369" i="16"/>
  <c r="E370" i="16"/>
  <c r="E371" i="16"/>
  <c r="E372" i="16"/>
  <c r="E373" i="16"/>
  <c r="E374" i="16"/>
  <c r="E375" i="16"/>
  <c r="E376" i="16"/>
  <c r="E377" i="16"/>
  <c r="E378" i="16"/>
  <c r="E379" i="16"/>
  <c r="E380" i="16"/>
  <c r="E381" i="16"/>
  <c r="E382" i="16"/>
  <c r="E383" i="16"/>
  <c r="E384" i="16"/>
  <c r="E385" i="16"/>
  <c r="E386" i="16"/>
  <c r="E387" i="16"/>
  <c r="E388" i="16"/>
  <c r="E389" i="16"/>
  <c r="E390" i="16"/>
  <c r="E391" i="16"/>
  <c r="E392" i="16"/>
  <c r="E393" i="16"/>
  <c r="E394" i="16"/>
  <c r="E395" i="16"/>
  <c r="E396" i="16"/>
  <c r="E397" i="16"/>
  <c r="E398" i="16"/>
  <c r="E399" i="16"/>
  <c r="E400" i="16"/>
  <c r="E401" i="16"/>
  <c r="E402" i="16"/>
  <c r="E403" i="16"/>
  <c r="E404" i="16"/>
  <c r="E405" i="16"/>
  <c r="E406" i="16"/>
  <c r="E407" i="16"/>
  <c r="E408" i="16"/>
  <c r="E409" i="16"/>
  <c r="E410" i="16"/>
  <c r="E411" i="16"/>
  <c r="E412" i="16"/>
  <c r="E413" i="16"/>
  <c r="E414" i="16"/>
  <c r="E415" i="16"/>
  <c r="E416" i="16"/>
  <c r="E417" i="16"/>
  <c r="E418" i="16"/>
  <c r="E419" i="16"/>
  <c r="E420" i="16"/>
  <c r="E421" i="16"/>
  <c r="E422" i="16"/>
  <c r="E423" i="16"/>
  <c r="E424" i="16"/>
  <c r="E425" i="16"/>
  <c r="E426" i="16"/>
  <c r="E427" i="16"/>
  <c r="E428" i="16"/>
  <c r="E429" i="16"/>
  <c r="E430" i="16"/>
  <c r="E431" i="16"/>
  <c r="E432" i="16"/>
  <c r="E433" i="16"/>
  <c r="E434" i="16"/>
  <c r="E435" i="16"/>
  <c r="E436" i="16"/>
  <c r="E437" i="16"/>
  <c r="E438" i="16"/>
  <c r="E439" i="16"/>
  <c r="E440" i="16"/>
  <c r="E441" i="16"/>
  <c r="E442" i="16"/>
  <c r="E443" i="16"/>
  <c r="E444" i="16"/>
  <c r="E445" i="16"/>
  <c r="E446" i="16"/>
  <c r="E447" i="16"/>
  <c r="E448" i="16"/>
  <c r="E449" i="16"/>
  <c r="E450" i="16"/>
  <c r="E451" i="16"/>
  <c r="E452" i="16"/>
  <c r="E453" i="16"/>
  <c r="E454" i="16"/>
  <c r="E455" i="16"/>
  <c r="E456" i="16"/>
  <c r="E457" i="16"/>
  <c r="E458" i="16"/>
  <c r="E459" i="16"/>
  <c r="E460" i="16"/>
  <c r="E461" i="16"/>
  <c r="E462" i="16"/>
  <c r="E463" i="16"/>
  <c r="E464" i="16"/>
  <c r="E465" i="16"/>
  <c r="E466" i="16"/>
  <c r="E467" i="16"/>
  <c r="E468" i="16"/>
  <c r="E469" i="16"/>
  <c r="E470" i="16"/>
  <c r="E471" i="16"/>
  <c r="E472" i="16"/>
  <c r="E473" i="16"/>
  <c r="E474" i="16"/>
  <c r="E475" i="16"/>
  <c r="E476" i="16"/>
  <c r="E477" i="16"/>
  <c r="E478" i="16"/>
  <c r="E479" i="16"/>
  <c r="E480" i="16"/>
  <c r="E481" i="16"/>
  <c r="E482" i="16"/>
  <c r="E483" i="16"/>
  <c r="E484" i="16"/>
  <c r="E485" i="16"/>
  <c r="E486" i="16"/>
  <c r="E487" i="16"/>
  <c r="E488" i="16"/>
  <c r="E489" i="16"/>
  <c r="E490" i="16"/>
  <c r="E491" i="16"/>
  <c r="E492" i="16"/>
  <c r="E493" i="16"/>
  <c r="E494" i="16"/>
  <c r="E495" i="16"/>
  <c r="E496" i="16"/>
  <c r="E497" i="16"/>
  <c r="E498" i="16"/>
  <c r="E499" i="16"/>
  <c r="E500" i="16"/>
  <c r="D2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8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3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3" i="16"/>
  <c r="D114" i="16"/>
  <c r="D115" i="16"/>
  <c r="D116" i="16"/>
  <c r="D117" i="16"/>
  <c r="D118" i="16"/>
  <c r="D119" i="16"/>
  <c r="D120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39" i="16"/>
  <c r="D140" i="16"/>
  <c r="D141" i="16"/>
  <c r="D142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3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8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289" i="16"/>
  <c r="D290" i="16"/>
  <c r="D291" i="16"/>
  <c r="D292" i="16"/>
  <c r="D293" i="16"/>
  <c r="D294" i="16"/>
  <c r="D295" i="16"/>
  <c r="D296" i="16"/>
  <c r="D297" i="16"/>
  <c r="D298" i="16"/>
  <c r="D299" i="16"/>
  <c r="D300" i="16"/>
  <c r="D301" i="16"/>
  <c r="D302" i="16"/>
  <c r="D303" i="16"/>
  <c r="D304" i="16"/>
  <c r="D305" i="16"/>
  <c r="D306" i="16"/>
  <c r="D307" i="16"/>
  <c r="D308" i="16"/>
  <c r="D309" i="16"/>
  <c r="D310" i="16"/>
  <c r="D311" i="16"/>
  <c r="D312" i="16"/>
  <c r="D313" i="16"/>
  <c r="D314" i="16"/>
  <c r="D315" i="16"/>
  <c r="D316" i="16"/>
  <c r="D317" i="16"/>
  <c r="D318" i="16"/>
  <c r="D319" i="16"/>
  <c r="D320" i="16"/>
  <c r="D321" i="16"/>
  <c r="D322" i="16"/>
  <c r="D323" i="16"/>
  <c r="D324" i="16"/>
  <c r="D325" i="16"/>
  <c r="D326" i="16"/>
  <c r="D327" i="16"/>
  <c r="D328" i="16"/>
  <c r="D329" i="16"/>
  <c r="D330" i="16"/>
  <c r="D331" i="16"/>
  <c r="D332" i="16"/>
  <c r="D333" i="16"/>
  <c r="D334" i="16"/>
  <c r="D335" i="16"/>
  <c r="D336" i="16"/>
  <c r="D337" i="16"/>
  <c r="D338" i="16"/>
  <c r="D339" i="16"/>
  <c r="D340" i="16"/>
  <c r="D341" i="16"/>
  <c r="D342" i="16"/>
  <c r="D343" i="16"/>
  <c r="D344" i="16"/>
  <c r="D345" i="16"/>
  <c r="D346" i="16"/>
  <c r="D347" i="16"/>
  <c r="D348" i="16"/>
  <c r="D349" i="16"/>
  <c r="D350" i="16"/>
  <c r="D351" i="16"/>
  <c r="D352" i="16"/>
  <c r="D353" i="16"/>
  <c r="D354" i="16"/>
  <c r="D355" i="16"/>
  <c r="D356" i="16"/>
  <c r="D357" i="16"/>
  <c r="D358" i="16"/>
  <c r="D359" i="16"/>
  <c r="D360" i="16"/>
  <c r="D361" i="16"/>
  <c r="D362" i="16"/>
  <c r="D363" i="16"/>
  <c r="D364" i="16"/>
  <c r="D365" i="16"/>
  <c r="D366" i="16"/>
  <c r="D367" i="16"/>
  <c r="D368" i="16"/>
  <c r="D369" i="16"/>
  <c r="D370" i="16"/>
  <c r="D371" i="16"/>
  <c r="D372" i="16"/>
  <c r="D373" i="16"/>
  <c r="D374" i="16"/>
  <c r="D375" i="16"/>
  <c r="D376" i="16"/>
  <c r="D377" i="16"/>
  <c r="D378" i="16"/>
  <c r="D379" i="16"/>
  <c r="D380" i="16"/>
  <c r="D381" i="16"/>
  <c r="D382" i="16"/>
  <c r="D383" i="16"/>
  <c r="D384" i="16"/>
  <c r="D385" i="16"/>
  <c r="D386" i="16"/>
  <c r="D387" i="16"/>
  <c r="D388" i="16"/>
  <c r="D389" i="16"/>
  <c r="D390" i="16"/>
  <c r="D391" i="16"/>
  <c r="D392" i="16"/>
  <c r="D393" i="16"/>
  <c r="D394" i="16"/>
  <c r="D395" i="16"/>
  <c r="D396" i="16"/>
  <c r="D397" i="16"/>
  <c r="D398" i="16"/>
  <c r="D399" i="16"/>
  <c r="D400" i="16"/>
  <c r="D401" i="16"/>
  <c r="D402" i="16"/>
  <c r="D403" i="16"/>
  <c r="D404" i="16"/>
  <c r="D405" i="16"/>
  <c r="D406" i="16"/>
  <c r="D407" i="16"/>
  <c r="D408" i="16"/>
  <c r="D409" i="16"/>
  <c r="D410" i="16"/>
  <c r="D411" i="16"/>
  <c r="D412" i="16"/>
  <c r="D413" i="16"/>
  <c r="D414" i="16"/>
  <c r="D415" i="16"/>
  <c r="D416" i="16"/>
  <c r="D417" i="16"/>
  <c r="D418" i="16"/>
  <c r="D419" i="16"/>
  <c r="D420" i="16"/>
  <c r="D421" i="16"/>
  <c r="D422" i="16"/>
  <c r="D423" i="16"/>
  <c r="D424" i="16"/>
  <c r="D425" i="16"/>
  <c r="D426" i="16"/>
  <c r="D427" i="16"/>
  <c r="D428" i="16"/>
  <c r="D429" i="16"/>
  <c r="D430" i="16"/>
  <c r="D431" i="16"/>
  <c r="D432" i="16"/>
  <c r="D433" i="16"/>
  <c r="D434" i="16"/>
  <c r="D435" i="16"/>
  <c r="D436" i="16"/>
  <c r="D437" i="16"/>
  <c r="D438" i="16"/>
  <c r="D439" i="16"/>
  <c r="D440" i="16"/>
  <c r="D441" i="16"/>
  <c r="D442" i="16"/>
  <c r="D443" i="16"/>
  <c r="D444" i="16"/>
  <c r="D445" i="16"/>
  <c r="D446" i="16"/>
  <c r="D447" i="16"/>
  <c r="D448" i="16"/>
  <c r="D449" i="16"/>
  <c r="D450" i="16"/>
  <c r="D451" i="16"/>
  <c r="D452" i="16"/>
  <c r="D453" i="16"/>
  <c r="D454" i="16"/>
  <c r="D455" i="16"/>
  <c r="D456" i="16"/>
  <c r="D457" i="16"/>
  <c r="D458" i="16"/>
  <c r="D459" i="16"/>
  <c r="D460" i="16"/>
  <c r="D461" i="16"/>
  <c r="D462" i="16"/>
  <c r="D463" i="16"/>
  <c r="D464" i="16"/>
  <c r="D465" i="16"/>
  <c r="D466" i="16"/>
  <c r="D467" i="16"/>
  <c r="D468" i="16"/>
  <c r="D469" i="16"/>
  <c r="D470" i="16"/>
  <c r="D471" i="16"/>
  <c r="D472" i="16"/>
  <c r="D473" i="16"/>
  <c r="D474" i="16"/>
  <c r="D475" i="16"/>
  <c r="D476" i="16"/>
  <c r="D477" i="16"/>
  <c r="D478" i="16"/>
  <c r="D479" i="16"/>
  <c r="D480" i="16"/>
  <c r="D481" i="16"/>
  <c r="D482" i="16"/>
  <c r="D483" i="16"/>
  <c r="D484" i="16"/>
  <c r="D485" i="16"/>
  <c r="D486" i="16"/>
  <c r="D487" i="16"/>
  <c r="D488" i="16"/>
  <c r="D489" i="16"/>
  <c r="D490" i="16"/>
  <c r="D491" i="16"/>
  <c r="D492" i="16"/>
  <c r="D493" i="16"/>
  <c r="D494" i="16"/>
  <c r="D495" i="16"/>
  <c r="D496" i="16"/>
  <c r="D497" i="16"/>
  <c r="D498" i="16"/>
  <c r="D499" i="16"/>
  <c r="D500" i="16"/>
  <c r="C2" i="16"/>
  <c r="C3" i="16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150" i="16"/>
  <c r="C151" i="16"/>
  <c r="C152" i="16"/>
  <c r="C153" i="16"/>
  <c r="C154" i="16"/>
  <c r="C155" i="16"/>
  <c r="C156" i="16"/>
  <c r="C157" i="16"/>
  <c r="C158" i="16"/>
  <c r="C159" i="16"/>
  <c r="C160" i="16"/>
  <c r="C161" i="16"/>
  <c r="C162" i="16"/>
  <c r="C163" i="16"/>
  <c r="C164" i="16"/>
  <c r="C165" i="16"/>
  <c r="C166" i="16"/>
  <c r="C167" i="16"/>
  <c r="C168" i="16"/>
  <c r="C169" i="16"/>
  <c r="C170" i="16"/>
  <c r="C171" i="16"/>
  <c r="C172" i="16"/>
  <c r="C173" i="16"/>
  <c r="C174" i="16"/>
  <c r="C175" i="16"/>
  <c r="C176" i="16"/>
  <c r="C177" i="16"/>
  <c r="C178" i="16"/>
  <c r="C179" i="16"/>
  <c r="C180" i="16"/>
  <c r="C181" i="16"/>
  <c r="C182" i="16"/>
  <c r="C183" i="16"/>
  <c r="C184" i="16"/>
  <c r="C185" i="16"/>
  <c r="C186" i="16"/>
  <c r="C187" i="16"/>
  <c r="C188" i="16"/>
  <c r="C189" i="16"/>
  <c r="C190" i="16"/>
  <c r="C191" i="16"/>
  <c r="C192" i="16"/>
  <c r="C193" i="16"/>
  <c r="C194" i="16"/>
  <c r="C195" i="16"/>
  <c r="C196" i="16"/>
  <c r="C197" i="16"/>
  <c r="C198" i="16"/>
  <c r="C199" i="16"/>
  <c r="C200" i="16"/>
  <c r="C201" i="16"/>
  <c r="C202" i="16"/>
  <c r="C203" i="16"/>
  <c r="C204" i="16"/>
  <c r="C205" i="16"/>
  <c r="C206" i="16"/>
  <c r="C207" i="16"/>
  <c r="C208" i="16"/>
  <c r="C209" i="16"/>
  <c r="C210" i="16"/>
  <c r="C211" i="16"/>
  <c r="C212" i="16"/>
  <c r="C213" i="16"/>
  <c r="C214" i="16"/>
  <c r="C215" i="16"/>
  <c r="C216" i="16"/>
  <c r="C217" i="16"/>
  <c r="C218" i="16"/>
  <c r="C219" i="16"/>
  <c r="C220" i="16"/>
  <c r="C221" i="16"/>
  <c r="C222" i="16"/>
  <c r="C223" i="16"/>
  <c r="C224" i="16"/>
  <c r="C225" i="16"/>
  <c r="C226" i="16"/>
  <c r="C227" i="16"/>
  <c r="C228" i="16"/>
  <c r="C229" i="16"/>
  <c r="C230" i="16"/>
  <c r="C231" i="16"/>
  <c r="C232" i="16"/>
  <c r="C233" i="16"/>
  <c r="C234" i="16"/>
  <c r="C235" i="16"/>
  <c r="C236" i="16"/>
  <c r="C237" i="16"/>
  <c r="C238" i="16"/>
  <c r="C239" i="16"/>
  <c r="C240" i="16"/>
  <c r="C241" i="16"/>
  <c r="C242" i="16"/>
  <c r="C243" i="16"/>
  <c r="C244" i="16"/>
  <c r="C245" i="16"/>
  <c r="C246" i="16"/>
  <c r="C247" i="16"/>
  <c r="C248" i="16"/>
  <c r="C249" i="16"/>
  <c r="C250" i="16"/>
  <c r="C251" i="16"/>
  <c r="C252" i="16"/>
  <c r="C253" i="16"/>
  <c r="C254" i="16"/>
  <c r="C255" i="16"/>
  <c r="C256" i="16"/>
  <c r="C257" i="16"/>
  <c r="C258" i="16"/>
  <c r="C259" i="16"/>
  <c r="C260" i="16"/>
  <c r="C261" i="16"/>
  <c r="C262" i="16"/>
  <c r="C263" i="16"/>
  <c r="C264" i="16"/>
  <c r="C265" i="16"/>
  <c r="C266" i="16"/>
  <c r="C267" i="16"/>
  <c r="C268" i="16"/>
  <c r="C269" i="16"/>
  <c r="C270" i="16"/>
  <c r="C271" i="16"/>
  <c r="C272" i="16"/>
  <c r="C273" i="16"/>
  <c r="C274" i="16"/>
  <c r="C275" i="16"/>
  <c r="C276" i="16"/>
  <c r="C277" i="16"/>
  <c r="C278" i="16"/>
  <c r="C279" i="16"/>
  <c r="C280" i="16"/>
  <c r="C281" i="16"/>
  <c r="C282" i="16"/>
  <c r="C283" i="16"/>
  <c r="C284" i="16"/>
  <c r="C285" i="16"/>
  <c r="C286" i="16"/>
  <c r="C287" i="16"/>
  <c r="C288" i="16"/>
  <c r="C289" i="16"/>
  <c r="C290" i="16"/>
  <c r="C291" i="16"/>
  <c r="C292" i="16"/>
  <c r="C293" i="16"/>
  <c r="C294" i="16"/>
  <c r="C295" i="16"/>
  <c r="C296" i="16"/>
  <c r="C297" i="16"/>
  <c r="C298" i="16"/>
  <c r="C299" i="16"/>
  <c r="C300" i="16"/>
  <c r="C301" i="16"/>
  <c r="C302" i="16"/>
  <c r="C303" i="16"/>
  <c r="C304" i="16"/>
  <c r="C305" i="16"/>
  <c r="C306" i="16"/>
  <c r="C307" i="16"/>
  <c r="C308" i="16"/>
  <c r="C309" i="16"/>
  <c r="C310" i="16"/>
  <c r="C311" i="16"/>
  <c r="C312" i="16"/>
  <c r="C313" i="16"/>
  <c r="C314" i="16"/>
  <c r="C315" i="16"/>
  <c r="C316" i="16"/>
  <c r="C317" i="16"/>
  <c r="C318" i="16"/>
  <c r="C319" i="16"/>
  <c r="C320" i="16"/>
  <c r="C321" i="16"/>
  <c r="C322" i="16"/>
  <c r="C323" i="16"/>
  <c r="C324" i="16"/>
  <c r="C325" i="16"/>
  <c r="C326" i="16"/>
  <c r="C327" i="16"/>
  <c r="C328" i="16"/>
  <c r="C329" i="16"/>
  <c r="C330" i="16"/>
  <c r="C331" i="16"/>
  <c r="C332" i="16"/>
  <c r="C333" i="16"/>
  <c r="C334" i="16"/>
  <c r="C335" i="16"/>
  <c r="C336" i="16"/>
  <c r="C337" i="16"/>
  <c r="C338" i="16"/>
  <c r="C339" i="16"/>
  <c r="C340" i="16"/>
  <c r="C341" i="16"/>
  <c r="C342" i="16"/>
  <c r="C343" i="16"/>
  <c r="C344" i="16"/>
  <c r="C345" i="16"/>
  <c r="C346" i="16"/>
  <c r="C347" i="16"/>
  <c r="C348" i="16"/>
  <c r="C349" i="16"/>
  <c r="C350" i="16"/>
  <c r="C351" i="16"/>
  <c r="C352" i="16"/>
  <c r="C353" i="16"/>
  <c r="C354" i="16"/>
  <c r="C355" i="16"/>
  <c r="C356" i="16"/>
  <c r="C357" i="16"/>
  <c r="C358" i="16"/>
  <c r="C359" i="16"/>
  <c r="C360" i="16"/>
  <c r="C361" i="16"/>
  <c r="C362" i="16"/>
  <c r="C363" i="16"/>
  <c r="C364" i="16"/>
  <c r="C365" i="16"/>
  <c r="C366" i="16"/>
  <c r="C367" i="16"/>
  <c r="C368" i="16"/>
  <c r="C369" i="16"/>
  <c r="C370" i="16"/>
  <c r="C371" i="16"/>
  <c r="C372" i="16"/>
  <c r="C373" i="16"/>
  <c r="C374" i="16"/>
  <c r="C375" i="16"/>
  <c r="C376" i="16"/>
  <c r="C377" i="16"/>
  <c r="C378" i="16"/>
  <c r="C379" i="16"/>
  <c r="C380" i="16"/>
  <c r="C381" i="16"/>
  <c r="C382" i="16"/>
  <c r="C383" i="16"/>
  <c r="C384" i="16"/>
  <c r="C385" i="16"/>
  <c r="C386" i="16"/>
  <c r="C387" i="16"/>
  <c r="C388" i="16"/>
  <c r="C389" i="16"/>
  <c r="C390" i="16"/>
  <c r="C391" i="16"/>
  <c r="C392" i="16"/>
  <c r="C393" i="16"/>
  <c r="C394" i="16"/>
  <c r="C395" i="16"/>
  <c r="C396" i="16"/>
  <c r="C397" i="16"/>
  <c r="C398" i="16"/>
  <c r="C399" i="16"/>
  <c r="C400" i="16"/>
  <c r="C401" i="16"/>
  <c r="C402" i="16"/>
  <c r="C403" i="16"/>
  <c r="C404" i="16"/>
  <c r="C405" i="16"/>
  <c r="C406" i="16"/>
  <c r="C407" i="16"/>
  <c r="C408" i="16"/>
  <c r="C409" i="16"/>
  <c r="C410" i="16"/>
  <c r="C411" i="16"/>
  <c r="C412" i="16"/>
  <c r="C413" i="16"/>
  <c r="C414" i="16"/>
  <c r="C415" i="16"/>
  <c r="C416" i="16"/>
  <c r="C417" i="16"/>
  <c r="C418" i="16"/>
  <c r="C419" i="16"/>
  <c r="C420" i="16"/>
  <c r="C421" i="16"/>
  <c r="C422" i="16"/>
  <c r="C423" i="16"/>
  <c r="C424" i="16"/>
  <c r="C425" i="16"/>
  <c r="C426" i="16"/>
  <c r="C427" i="16"/>
  <c r="C428" i="16"/>
  <c r="C429" i="16"/>
  <c r="C430" i="16"/>
  <c r="C431" i="16"/>
  <c r="C432" i="16"/>
  <c r="C433" i="16"/>
  <c r="C434" i="16"/>
  <c r="C435" i="16"/>
  <c r="C436" i="16"/>
  <c r="C437" i="16"/>
  <c r="C438" i="16"/>
  <c r="C439" i="16"/>
  <c r="C440" i="16"/>
  <c r="C441" i="16"/>
  <c r="C442" i="16"/>
  <c r="C443" i="16"/>
  <c r="C444" i="16"/>
  <c r="C445" i="16"/>
  <c r="C446" i="16"/>
  <c r="C447" i="16"/>
  <c r="C448" i="16"/>
  <c r="C449" i="16"/>
  <c r="C450" i="16"/>
  <c r="C451" i="16"/>
  <c r="C452" i="16"/>
  <c r="C453" i="16"/>
  <c r="C454" i="16"/>
  <c r="C455" i="16"/>
  <c r="C456" i="16"/>
  <c r="C457" i="16"/>
  <c r="C458" i="16"/>
  <c r="C459" i="16"/>
  <c r="C460" i="16"/>
  <c r="C461" i="16"/>
  <c r="C462" i="16"/>
  <c r="C463" i="16"/>
  <c r="C464" i="16"/>
  <c r="C465" i="16"/>
  <c r="C466" i="16"/>
  <c r="C467" i="16"/>
  <c r="C468" i="16"/>
  <c r="C469" i="16"/>
  <c r="C470" i="16"/>
  <c r="C471" i="16"/>
  <c r="C472" i="16"/>
  <c r="C473" i="16"/>
  <c r="C474" i="16"/>
  <c r="C475" i="16"/>
  <c r="C476" i="16"/>
  <c r="C477" i="16"/>
  <c r="C478" i="16"/>
  <c r="C479" i="16"/>
  <c r="C480" i="16"/>
  <c r="C481" i="16"/>
  <c r="C482" i="16"/>
  <c r="C483" i="16"/>
  <c r="C484" i="16"/>
  <c r="C485" i="16"/>
  <c r="C486" i="16"/>
  <c r="C487" i="16"/>
  <c r="C488" i="16"/>
  <c r="C489" i="16"/>
  <c r="C490" i="16"/>
  <c r="C491" i="16"/>
  <c r="C492" i="16"/>
  <c r="C493" i="16"/>
  <c r="C494" i="16"/>
  <c r="C495" i="16"/>
  <c r="C496" i="16"/>
  <c r="C497" i="16"/>
  <c r="C498" i="16"/>
  <c r="C499" i="16"/>
  <c r="C500" i="16"/>
  <c r="B2" i="16"/>
  <c r="B3" i="16"/>
  <c r="B4" i="16"/>
  <c r="B5" i="16"/>
  <c r="B6" i="16"/>
  <c r="B7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  <c r="B48" i="16"/>
  <c r="B49" i="16"/>
  <c r="B50" i="16"/>
  <c r="B51" i="16"/>
  <c r="B52" i="16"/>
  <c r="B53" i="16"/>
  <c r="B54" i="16"/>
  <c r="B55" i="16"/>
  <c r="B56" i="16"/>
  <c r="B57" i="16"/>
  <c r="B58" i="16"/>
  <c r="B59" i="16"/>
  <c r="B60" i="16"/>
  <c r="B61" i="16"/>
  <c r="B62" i="16"/>
  <c r="B63" i="16"/>
  <c r="B64" i="16"/>
  <c r="B65" i="16"/>
  <c r="B66" i="16"/>
  <c r="B67" i="16"/>
  <c r="B68" i="16"/>
  <c r="B69" i="16"/>
  <c r="B70" i="16"/>
  <c r="B71" i="16"/>
  <c r="B72" i="16"/>
  <c r="B73" i="16"/>
  <c r="B74" i="16"/>
  <c r="B75" i="16"/>
  <c r="B76" i="16"/>
  <c r="B77" i="16"/>
  <c r="B78" i="16"/>
  <c r="B79" i="16"/>
  <c r="B80" i="16"/>
  <c r="B81" i="16"/>
  <c r="B82" i="16"/>
  <c r="B83" i="16"/>
  <c r="B84" i="16"/>
  <c r="B85" i="16"/>
  <c r="B86" i="16"/>
  <c r="B87" i="16"/>
  <c r="B88" i="16"/>
  <c r="B89" i="16"/>
  <c r="B90" i="16"/>
  <c r="B91" i="16"/>
  <c r="B92" i="16"/>
  <c r="B93" i="16"/>
  <c r="B94" i="16"/>
  <c r="B95" i="16"/>
  <c r="B96" i="16"/>
  <c r="B97" i="16"/>
  <c r="B98" i="16"/>
  <c r="B99" i="16"/>
  <c r="B100" i="16"/>
  <c r="B101" i="16"/>
  <c r="B102" i="16"/>
  <c r="B103" i="16"/>
  <c r="B104" i="16"/>
  <c r="B105" i="16"/>
  <c r="B106" i="16"/>
  <c r="B107" i="16"/>
  <c r="B108" i="16"/>
  <c r="B109" i="16"/>
  <c r="B110" i="16"/>
  <c r="B111" i="16"/>
  <c r="B112" i="16"/>
  <c r="B113" i="16"/>
  <c r="B114" i="16"/>
  <c r="B115" i="16"/>
  <c r="B116" i="16"/>
  <c r="B117" i="16"/>
  <c r="B118" i="16"/>
  <c r="B119" i="16"/>
  <c r="B120" i="16"/>
  <c r="B121" i="16"/>
  <c r="B122" i="16"/>
  <c r="B123" i="16"/>
  <c r="B124" i="16"/>
  <c r="B125" i="16"/>
  <c r="B126" i="16"/>
  <c r="B127" i="16"/>
  <c r="B128" i="16"/>
  <c r="B129" i="16"/>
  <c r="B130" i="16"/>
  <c r="B131" i="16"/>
  <c r="B132" i="16"/>
  <c r="B133" i="16"/>
  <c r="B134" i="16"/>
  <c r="B135" i="16"/>
  <c r="B136" i="16"/>
  <c r="B137" i="16"/>
  <c r="B138" i="16"/>
  <c r="B139" i="16"/>
  <c r="B140" i="16"/>
  <c r="B141" i="16"/>
  <c r="B142" i="16"/>
  <c r="B143" i="16"/>
  <c r="B144" i="16"/>
  <c r="B145" i="16"/>
  <c r="B146" i="16"/>
  <c r="B147" i="16"/>
  <c r="B148" i="16"/>
  <c r="B149" i="16"/>
  <c r="B150" i="16"/>
  <c r="B151" i="16"/>
  <c r="B152" i="16"/>
  <c r="B153" i="16"/>
  <c r="B154" i="16"/>
  <c r="B155" i="16"/>
  <c r="B156" i="16"/>
  <c r="B157" i="16"/>
  <c r="B158" i="16"/>
  <c r="B159" i="16"/>
  <c r="B160" i="16"/>
  <c r="B161" i="16"/>
  <c r="B162" i="16"/>
  <c r="B163" i="16"/>
  <c r="B164" i="16"/>
  <c r="B165" i="16"/>
  <c r="B166" i="16"/>
  <c r="B167" i="16"/>
  <c r="B168" i="16"/>
  <c r="B169" i="16"/>
  <c r="B170" i="16"/>
  <c r="B171" i="16"/>
  <c r="B172" i="16"/>
  <c r="B173" i="16"/>
  <c r="B174" i="16"/>
  <c r="B175" i="16"/>
  <c r="B176" i="16"/>
  <c r="B177" i="16"/>
  <c r="B178" i="16"/>
  <c r="B179" i="16"/>
  <c r="B180" i="16"/>
  <c r="B181" i="16"/>
  <c r="B182" i="16"/>
  <c r="B183" i="16"/>
  <c r="B184" i="16"/>
  <c r="B185" i="16"/>
  <c r="B186" i="16"/>
  <c r="B187" i="16"/>
  <c r="B188" i="16"/>
  <c r="B189" i="16"/>
  <c r="B190" i="16"/>
  <c r="B191" i="16"/>
  <c r="B192" i="16"/>
  <c r="B193" i="16"/>
  <c r="B194" i="16"/>
  <c r="B195" i="16"/>
  <c r="B196" i="16"/>
  <c r="B197" i="16"/>
  <c r="B198" i="16"/>
  <c r="B199" i="16"/>
  <c r="B200" i="16"/>
  <c r="B201" i="16"/>
  <c r="B202" i="16"/>
  <c r="B203" i="16"/>
  <c r="B204" i="16"/>
  <c r="B205" i="16"/>
  <c r="B206" i="16"/>
  <c r="B207" i="16"/>
  <c r="B208" i="16"/>
  <c r="B209" i="16"/>
  <c r="B210" i="16"/>
  <c r="B211" i="16"/>
  <c r="B212" i="16"/>
  <c r="B213" i="16"/>
  <c r="B214" i="16"/>
  <c r="B215" i="16"/>
  <c r="B216" i="16"/>
  <c r="B217" i="16"/>
  <c r="B218" i="16"/>
  <c r="B219" i="16"/>
  <c r="B220" i="16"/>
  <c r="B221" i="16"/>
  <c r="B222" i="16"/>
  <c r="B223" i="16"/>
  <c r="B224" i="16"/>
  <c r="B225" i="16"/>
  <c r="B226" i="16"/>
  <c r="B227" i="16"/>
  <c r="B228" i="16"/>
  <c r="B229" i="16"/>
  <c r="B230" i="16"/>
  <c r="B231" i="16"/>
  <c r="B232" i="16"/>
  <c r="B233" i="16"/>
  <c r="B234" i="16"/>
  <c r="B235" i="16"/>
  <c r="B236" i="16"/>
  <c r="B237" i="16"/>
  <c r="B238" i="16"/>
  <c r="B239" i="16"/>
  <c r="B240" i="16"/>
  <c r="B241" i="16"/>
  <c r="B242" i="16"/>
  <c r="B243" i="16"/>
  <c r="B244" i="16"/>
  <c r="B245" i="16"/>
  <c r="B246" i="16"/>
  <c r="B247" i="16"/>
  <c r="B248" i="16"/>
  <c r="B249" i="16"/>
  <c r="B250" i="16"/>
  <c r="B251" i="16"/>
  <c r="B252" i="16"/>
  <c r="B253" i="16"/>
  <c r="B254" i="16"/>
  <c r="B255" i="16"/>
  <c r="B256" i="16"/>
  <c r="B257" i="16"/>
  <c r="B258" i="16"/>
  <c r="B259" i="16"/>
  <c r="B260" i="16"/>
  <c r="B261" i="16"/>
  <c r="B262" i="16"/>
  <c r="B263" i="16"/>
  <c r="B264" i="16"/>
  <c r="B265" i="16"/>
  <c r="B266" i="16"/>
  <c r="B267" i="16"/>
  <c r="B268" i="16"/>
  <c r="B269" i="16"/>
  <c r="B270" i="16"/>
  <c r="B271" i="16"/>
  <c r="B272" i="16"/>
  <c r="B273" i="16"/>
  <c r="B274" i="16"/>
  <c r="B275" i="16"/>
  <c r="B276" i="16"/>
  <c r="B277" i="16"/>
  <c r="B278" i="16"/>
  <c r="B279" i="16"/>
  <c r="B280" i="16"/>
  <c r="B281" i="16"/>
  <c r="B282" i="16"/>
  <c r="B283" i="16"/>
  <c r="B284" i="16"/>
  <c r="B285" i="16"/>
  <c r="B286" i="16"/>
  <c r="B287" i="16"/>
  <c r="B288" i="16"/>
  <c r="B289" i="16"/>
  <c r="B290" i="16"/>
  <c r="B291" i="16"/>
  <c r="B292" i="16"/>
  <c r="B293" i="16"/>
  <c r="B294" i="16"/>
  <c r="B295" i="16"/>
  <c r="B296" i="16"/>
  <c r="B297" i="16"/>
  <c r="B298" i="16"/>
  <c r="B299" i="16"/>
  <c r="B300" i="16"/>
  <c r="B301" i="16"/>
  <c r="B302" i="16"/>
  <c r="B303" i="16"/>
  <c r="B304" i="16"/>
  <c r="B305" i="16"/>
  <c r="B306" i="16"/>
  <c r="B307" i="16"/>
  <c r="B308" i="16"/>
  <c r="B309" i="16"/>
  <c r="B310" i="16"/>
  <c r="B311" i="16"/>
  <c r="B312" i="16"/>
  <c r="B313" i="16"/>
  <c r="B314" i="16"/>
  <c r="B315" i="16"/>
  <c r="B316" i="16"/>
  <c r="B317" i="16"/>
  <c r="B318" i="16"/>
  <c r="B319" i="16"/>
  <c r="B320" i="16"/>
  <c r="B321" i="16"/>
  <c r="B322" i="16"/>
  <c r="B323" i="16"/>
  <c r="B324" i="16"/>
  <c r="B325" i="16"/>
  <c r="B326" i="16"/>
  <c r="B327" i="16"/>
  <c r="B328" i="16"/>
  <c r="B329" i="16"/>
  <c r="B330" i="16"/>
  <c r="B331" i="16"/>
  <c r="B332" i="16"/>
  <c r="B333" i="16"/>
  <c r="B334" i="16"/>
  <c r="B335" i="16"/>
  <c r="B336" i="16"/>
  <c r="B337" i="16"/>
  <c r="B338" i="16"/>
  <c r="B339" i="16"/>
  <c r="B340" i="16"/>
  <c r="B341" i="16"/>
  <c r="B342" i="16"/>
  <c r="B343" i="16"/>
  <c r="B344" i="16"/>
  <c r="B345" i="16"/>
  <c r="B346" i="16"/>
  <c r="B347" i="16"/>
  <c r="B348" i="16"/>
  <c r="B349" i="16"/>
  <c r="B350" i="16"/>
  <c r="B351" i="16"/>
  <c r="B352" i="16"/>
  <c r="B353" i="16"/>
  <c r="B354" i="16"/>
  <c r="B355" i="16"/>
  <c r="B356" i="16"/>
  <c r="B357" i="16"/>
  <c r="B358" i="16"/>
  <c r="B359" i="16"/>
  <c r="B360" i="16"/>
  <c r="B361" i="16"/>
  <c r="B362" i="16"/>
  <c r="B363" i="16"/>
  <c r="B364" i="16"/>
  <c r="B365" i="16"/>
  <c r="B366" i="16"/>
  <c r="B367" i="16"/>
  <c r="B368" i="16"/>
  <c r="B369" i="16"/>
  <c r="B370" i="16"/>
  <c r="B371" i="16"/>
  <c r="B372" i="16"/>
  <c r="B373" i="16"/>
  <c r="B374" i="16"/>
  <c r="B375" i="16"/>
  <c r="B376" i="16"/>
  <c r="B377" i="16"/>
  <c r="B378" i="16"/>
  <c r="B379" i="16"/>
  <c r="B380" i="16"/>
  <c r="B381" i="16"/>
  <c r="B382" i="16"/>
  <c r="B383" i="16"/>
  <c r="B384" i="16"/>
  <c r="B385" i="16"/>
  <c r="B386" i="16"/>
  <c r="B387" i="16"/>
  <c r="B388" i="16"/>
  <c r="B389" i="16"/>
  <c r="B390" i="16"/>
  <c r="B391" i="16"/>
  <c r="B392" i="16"/>
  <c r="B393" i="16"/>
  <c r="B394" i="16"/>
  <c r="B395" i="16"/>
  <c r="B396" i="16"/>
  <c r="B397" i="16"/>
  <c r="B398" i="16"/>
  <c r="B399" i="16"/>
  <c r="B400" i="16"/>
  <c r="B401" i="16"/>
  <c r="B402" i="16"/>
  <c r="B403" i="16"/>
  <c r="B404" i="16"/>
  <c r="B405" i="16"/>
  <c r="B406" i="16"/>
  <c r="B407" i="16"/>
  <c r="B408" i="16"/>
  <c r="B409" i="16"/>
  <c r="B410" i="16"/>
  <c r="B411" i="16"/>
  <c r="B412" i="16"/>
  <c r="B413" i="16"/>
  <c r="B414" i="16"/>
  <c r="B415" i="16"/>
  <c r="B416" i="16"/>
  <c r="B417" i="16"/>
  <c r="B418" i="16"/>
  <c r="B419" i="16"/>
  <c r="B420" i="16"/>
  <c r="B421" i="16"/>
  <c r="B422" i="16"/>
  <c r="B423" i="16"/>
  <c r="B424" i="16"/>
  <c r="B425" i="16"/>
  <c r="B426" i="16"/>
  <c r="B427" i="16"/>
  <c r="B428" i="16"/>
  <c r="B429" i="16"/>
  <c r="B430" i="16"/>
  <c r="B431" i="16"/>
  <c r="B432" i="16"/>
  <c r="B433" i="16"/>
  <c r="B434" i="16"/>
  <c r="B435" i="16"/>
  <c r="B436" i="16"/>
  <c r="B437" i="16"/>
  <c r="B438" i="16"/>
  <c r="B439" i="16"/>
  <c r="B440" i="16"/>
  <c r="B441" i="16"/>
  <c r="B442" i="16"/>
  <c r="B443" i="16"/>
  <c r="B444" i="16"/>
  <c r="B445" i="16"/>
  <c r="B446" i="16"/>
  <c r="B447" i="16"/>
  <c r="B448" i="16"/>
  <c r="B449" i="16"/>
  <c r="B450" i="16"/>
  <c r="B451" i="16"/>
  <c r="B452" i="16"/>
  <c r="B453" i="16"/>
  <c r="B454" i="16"/>
  <c r="B455" i="16"/>
  <c r="B456" i="16"/>
  <c r="B457" i="16"/>
  <c r="B458" i="16"/>
  <c r="B459" i="16"/>
  <c r="B460" i="16"/>
  <c r="B461" i="16"/>
  <c r="B462" i="16"/>
  <c r="B463" i="16"/>
  <c r="B464" i="16"/>
  <c r="B465" i="16"/>
  <c r="B466" i="16"/>
  <c r="B467" i="16"/>
  <c r="B468" i="16"/>
  <c r="B469" i="16"/>
  <c r="B470" i="16"/>
  <c r="B471" i="16"/>
  <c r="B472" i="16"/>
  <c r="B473" i="16"/>
  <c r="B474" i="16"/>
  <c r="B475" i="16"/>
  <c r="B476" i="16"/>
  <c r="B477" i="16"/>
  <c r="B478" i="16"/>
  <c r="B479" i="16"/>
  <c r="B480" i="16"/>
  <c r="B481" i="16"/>
  <c r="B482" i="16"/>
  <c r="B483" i="16"/>
  <c r="B484" i="16"/>
  <c r="B485" i="16"/>
  <c r="B486" i="16"/>
  <c r="B487" i="16"/>
  <c r="B488" i="16"/>
  <c r="B489" i="16"/>
  <c r="B490" i="16"/>
  <c r="B491" i="16"/>
  <c r="B492" i="16"/>
  <c r="B493" i="16"/>
  <c r="B494" i="16"/>
  <c r="B495" i="16"/>
  <c r="B496" i="16"/>
  <c r="B497" i="16"/>
  <c r="B498" i="16"/>
  <c r="B499" i="16"/>
  <c r="B500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2F581D-294B-4E36-BD8B-9A0DECD7F8E0}" keepAlive="1" name="Query - DAY_8" description="Connection to the 'DAY_8' query in the workbook." type="5" refreshedVersion="0" background="1">
    <dbPr connection="Provider=Microsoft.Mashup.OleDb.1;Data Source=$Workbook$;Location=DAY_8;Extended Properties=&quot;&quot;" command="SELECT * FROM [DAY_8]"/>
  </connection>
</connections>
</file>

<file path=xl/sharedStrings.xml><?xml version="1.0" encoding="utf-8"?>
<sst xmlns="http://schemas.openxmlformats.org/spreadsheetml/2006/main" count="4748" uniqueCount="1102">
  <si>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</si>
  <si>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</si>
  <si>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</si>
  <si>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</si>
  <si>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</si>
  <si>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</si>
  <si>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</si>
  <si>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</si>
  <si>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</si>
  <si>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</si>
  <si>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Notes</t>
  </si>
  <si>
    <t>Status</t>
  </si>
  <si>
    <t xml:space="preserve">no of projects </t>
  </si>
  <si>
    <t>duration_months</t>
  </si>
  <si>
    <t>FL250001</t>
  </si>
  <si>
    <t>Ms. Nicole Kidd</t>
  </si>
  <si>
    <t>FL250002</t>
  </si>
  <si>
    <t>Vanessa Garcia</t>
  </si>
  <si>
    <t>FEMALE</t>
  </si>
  <si>
    <t>USD 100</t>
  </si>
  <si>
    <t>FL250003</t>
  </si>
  <si>
    <t>Juan Nelson</t>
  </si>
  <si>
    <t>FL250004</t>
  </si>
  <si>
    <t>Amanda Spencer</t>
  </si>
  <si>
    <t>$40</t>
  </si>
  <si>
    <t>FL250005</t>
  </si>
  <si>
    <t>FL250006</t>
  </si>
  <si>
    <t>Lisa Johnson</t>
  </si>
  <si>
    <t>AI</t>
  </si>
  <si>
    <t>$30</t>
  </si>
  <si>
    <t>FL250007</t>
  </si>
  <si>
    <t>Eric Myers</t>
  </si>
  <si>
    <t>USD 75</t>
  </si>
  <si>
    <t>FL250008</t>
  </si>
  <si>
    <t>Ricky Graham</t>
  </si>
  <si>
    <t>USD 40</t>
  </si>
  <si>
    <t>FL250009</t>
  </si>
  <si>
    <t>Sean Martin</t>
  </si>
  <si>
    <t>US</t>
  </si>
  <si>
    <t>FL250010</t>
  </si>
  <si>
    <t>Matthew Lloyd</t>
  </si>
  <si>
    <t>MALE</t>
  </si>
  <si>
    <t>$50</t>
  </si>
  <si>
    <t>FL250011</t>
  </si>
  <si>
    <t>Gavin Randall</t>
  </si>
  <si>
    <t>UK</t>
  </si>
  <si>
    <t>FL250012</t>
  </si>
  <si>
    <t>Michelle Curtis</t>
  </si>
  <si>
    <t>FL250013</t>
  </si>
  <si>
    <t>Alice Schneider</t>
  </si>
  <si>
    <t>FL250014</t>
  </si>
  <si>
    <t>Phillip Shelton</t>
  </si>
  <si>
    <t>FL250015</t>
  </si>
  <si>
    <t>Edward Ferguson</t>
  </si>
  <si>
    <t>FL250016</t>
  </si>
  <si>
    <t>Wyatt Stout</t>
  </si>
  <si>
    <t>FL250017</t>
  </si>
  <si>
    <t>Laura Johnson</t>
  </si>
  <si>
    <t>FL250018</t>
  </si>
  <si>
    <t>Scott Burns</t>
  </si>
  <si>
    <t>FL250019</t>
  </si>
  <si>
    <t>Tyler Aguirre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</si>
  <si>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</si>
  <si>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</si>
  <si>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</si>
  <si>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</si>
  <si>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</si>
  <si>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</si>
  <si>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</si>
  <si>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</si>
  <si>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</si>
  <si>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USD 30</t>
  </si>
  <si>
    <t>FL250024</t>
  </si>
  <si>
    <t>Melanie Carter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</si>
  <si>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</si>
  <si>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</si>
  <si>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</si>
  <si>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</si>
  <si>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</si>
  <si>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</si>
  <si>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</si>
  <si>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</si>
  <si>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</si>
  <si>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FL250029</t>
  </si>
  <si>
    <t>Megan Jones</t>
  </si>
  <si>
    <t>FL250030</t>
  </si>
  <si>
    <t>Lori Smith</t>
  </si>
  <si>
    <t>FL250031</t>
  </si>
  <si>
    <t>Eric Carpenter</t>
  </si>
  <si>
    <t>FL250032</t>
  </si>
  <si>
    <t>Timothy Daniels</t>
  </si>
  <si>
    <t>FL250033</t>
  </si>
  <si>
    <t>Robert Nelson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</si>
  <si>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</si>
  <si>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</si>
  <si>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</si>
  <si>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</si>
  <si>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</si>
  <si>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</si>
  <si>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</si>
  <si>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</si>
  <si>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</si>
  <si>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</si>
  <si>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</si>
  <si>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</si>
  <si>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FL250040</t>
  </si>
  <si>
    <t>James Hernandez</t>
  </si>
  <si>
    <t>FL250041</t>
  </si>
  <si>
    <t>Angelica Rogers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</si>
  <si>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</si>
  <si>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</si>
  <si>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</si>
  <si>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</si>
  <si>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</si>
  <si>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</si>
  <si>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</si>
  <si>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</si>
  <si>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</si>
  <si>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</si>
  <si>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</si>
  <si>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</si>
  <si>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</si>
  <si>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</si>
  <si>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</si>
  <si>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FL250049</t>
  </si>
  <si>
    <t>Dominique Ward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</si>
  <si>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</si>
  <si>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</si>
  <si>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</si>
  <si>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</si>
  <si>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</si>
  <si>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</si>
  <si>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</si>
  <si>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</si>
  <si>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</si>
  <si>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</si>
  <si>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</si>
  <si>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</si>
  <si>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</si>
  <si>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</si>
  <si>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</si>
  <si>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</si>
  <si>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</si>
  <si>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</si>
  <si>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</si>
  <si>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</si>
  <si>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</si>
  <si>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</si>
  <si>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</si>
  <si>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</si>
  <si>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</si>
  <si>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</si>
  <si>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</si>
  <si>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</si>
  <si>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</si>
  <si>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</si>
  <si>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</si>
  <si>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</si>
  <si>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</si>
  <si>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</si>
  <si>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</si>
  <si>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</si>
  <si>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</si>
  <si>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</si>
  <si>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</si>
  <si>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</si>
  <si>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</si>
  <si>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</si>
  <si>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</si>
  <si>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</si>
  <si>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</si>
  <si>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</si>
  <si>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</si>
  <si>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</si>
  <si>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</si>
  <si>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</si>
  <si>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</si>
  <si>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</si>
  <si>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</si>
  <si>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</si>
  <si>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</si>
  <si>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</si>
  <si>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</si>
  <si>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</si>
  <si>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</si>
  <si>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</si>
  <si>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</si>
  <si>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</si>
  <si>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</si>
  <si>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</si>
  <si>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</si>
  <si>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</si>
  <si>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</si>
  <si>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</si>
  <si>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</si>
  <si>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</si>
  <si>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</si>
  <si>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</si>
  <si>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</si>
  <si>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</si>
  <si>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</si>
  <si>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</si>
  <si>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</si>
  <si>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</si>
  <si>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</si>
  <si>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</si>
  <si>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</si>
  <si>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</si>
  <si>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</si>
  <si>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</si>
  <si>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</si>
  <si>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</si>
  <si>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</si>
  <si>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</si>
  <si>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</si>
  <si>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</si>
  <si>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</si>
  <si>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</si>
  <si>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</si>
  <si>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</si>
  <si>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</si>
  <si>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</si>
  <si>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</si>
  <si>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</si>
  <si>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</si>
  <si>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</si>
  <si>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</si>
  <si>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</si>
  <si>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</si>
  <si>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</si>
  <si>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</si>
  <si>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</si>
  <si>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</si>
  <si>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</si>
  <si>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</si>
  <si>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</si>
  <si>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</si>
  <si>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</si>
  <si>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</si>
  <si>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</si>
  <si>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</si>
  <si>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</si>
  <si>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</si>
  <si>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</si>
  <si>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</si>
  <si>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</si>
  <si>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</si>
  <si>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</si>
  <si>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</si>
  <si>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</si>
  <si>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</si>
  <si>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</si>
  <si>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</si>
  <si>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</si>
  <si>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</si>
  <si>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</si>
  <si>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</si>
  <si>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</si>
  <si>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</si>
  <si>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</si>
  <si>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</si>
  <si>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</si>
  <si>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</si>
  <si>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</si>
  <si>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</si>
  <si>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</si>
  <si>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</si>
  <si>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</si>
  <si>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</si>
  <si>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</si>
  <si>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</si>
  <si>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</si>
  <si>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</si>
  <si>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</si>
  <si>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</si>
  <si>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</si>
  <si>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</si>
  <si>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</si>
  <si>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</si>
  <si>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</si>
  <si>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</si>
  <si>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</si>
  <si>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</si>
  <si>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</si>
  <si>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</si>
  <si>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</si>
  <si>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</si>
  <si>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</si>
  <si>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</si>
  <si>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</si>
  <si>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</si>
  <si>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</si>
  <si>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</si>
  <si>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</si>
  <si>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</si>
  <si>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</si>
  <si>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</si>
  <si>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</si>
  <si>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</si>
  <si>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</si>
  <si>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</si>
  <si>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</si>
  <si>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</si>
  <si>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</si>
  <si>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</si>
  <si>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</si>
  <si>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</si>
  <si>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</si>
  <si>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</si>
  <si>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</si>
  <si>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</si>
  <si>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</si>
  <si>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</si>
  <si>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</si>
  <si>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</si>
  <si>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</si>
  <si>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</si>
  <si>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</si>
  <si>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</si>
  <si>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</si>
  <si>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</si>
  <si>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</si>
  <si>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</si>
  <si>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</si>
  <si>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</si>
  <si>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</si>
  <si>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</si>
  <si>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</si>
  <si>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</si>
  <si>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</si>
  <si>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</si>
  <si>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</si>
  <si>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</si>
  <si>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</si>
  <si>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</si>
  <si>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</si>
  <si>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</si>
  <si>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</si>
  <si>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</si>
  <si>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</si>
  <si>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</si>
  <si>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</si>
  <si>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</si>
  <si>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</si>
  <si>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</si>
  <si>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</si>
  <si>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</si>
  <si>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</si>
  <si>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</si>
  <si>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</si>
  <si>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</si>
  <si>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</si>
  <si>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</si>
  <si>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</si>
  <si>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</si>
  <si>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</si>
  <si>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</si>
  <si>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</si>
  <si>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</si>
  <si>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</si>
  <si>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</si>
  <si>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</si>
  <si>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</si>
  <si>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</si>
  <si>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</si>
  <si>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</si>
  <si>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</si>
  <si>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</si>
  <si>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</si>
  <si>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</si>
  <si>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</si>
  <si>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</si>
  <si>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</si>
  <si>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</si>
  <si>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</si>
  <si>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</si>
  <si>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</si>
  <si>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</si>
  <si>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</si>
  <si>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</si>
  <si>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</si>
  <si>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</si>
  <si>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</si>
  <si>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</si>
  <si>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</si>
  <si>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</si>
  <si>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</si>
  <si>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</si>
  <si>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</si>
  <si>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</si>
  <si>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</si>
  <si>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</si>
  <si>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</si>
  <si>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</si>
  <si>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</si>
  <si>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</si>
  <si>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</si>
  <si>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</si>
  <si>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</si>
  <si>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</si>
  <si>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</si>
  <si>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</si>
  <si>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</si>
  <si>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</si>
  <si>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</si>
  <si>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</si>
  <si>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</si>
  <si>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</si>
  <si>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</si>
  <si>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</si>
  <si>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</si>
  <si>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</si>
  <si>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</si>
  <si>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</si>
  <si>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</si>
  <si>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</si>
  <si>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</si>
  <si>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</si>
  <si>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</si>
  <si>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</si>
  <si>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</si>
  <si>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</si>
  <si>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</si>
  <si>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</si>
  <si>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</si>
  <si>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</si>
  <si>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</si>
  <si>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</si>
  <si>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</si>
  <si>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</si>
  <si>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</si>
  <si>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</si>
  <si>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</si>
  <si>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</si>
  <si>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</si>
  <si>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</si>
  <si>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</si>
  <si>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</si>
  <si>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</si>
  <si>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</si>
  <si>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</si>
  <si>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</si>
  <si>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</si>
  <si>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</si>
  <si>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</si>
  <si>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</si>
  <si>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</si>
  <si>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</si>
  <si>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</si>
  <si>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</si>
  <si>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</si>
  <si>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</si>
  <si>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</si>
  <si>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</si>
  <si>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</si>
  <si>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</si>
  <si>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</si>
  <si>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</si>
  <si>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</si>
  <si>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</si>
  <si>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</si>
  <si>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</si>
  <si>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</si>
  <si>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</si>
  <si>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</si>
  <si>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</si>
  <si>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</si>
  <si>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</si>
  <si>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</si>
  <si>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</si>
  <si>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</si>
  <si>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</si>
  <si>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</si>
  <si>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</si>
  <si>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</si>
  <si>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</si>
  <si>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</si>
  <si>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</si>
  <si>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</si>
  <si>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</si>
  <si>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</si>
  <si>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</si>
  <si>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</si>
  <si>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</si>
  <si>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</si>
  <si>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</si>
  <si>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</si>
  <si>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</si>
  <si>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</si>
  <si>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</si>
  <si>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</si>
  <si>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</si>
  <si>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</si>
  <si>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</si>
  <si>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</si>
  <si>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</si>
  <si>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</si>
  <si>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</si>
  <si>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</si>
  <si>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</si>
  <si>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</si>
  <si>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</si>
  <si>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</si>
  <si>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</si>
  <si>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</si>
  <si>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</si>
  <si>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</si>
  <si>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</si>
  <si>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</si>
  <si>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</si>
  <si>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</si>
  <si>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</si>
  <si>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</si>
  <si>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</si>
  <si>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</si>
  <si>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</si>
  <si>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</si>
  <si>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</si>
  <si>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</si>
  <si>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</si>
  <si>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</si>
  <si>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</si>
  <si>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</si>
  <si>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</si>
  <si>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</si>
  <si>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</si>
  <si>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</si>
  <si>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</si>
  <si>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</si>
  <si>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</si>
  <si>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</si>
  <si>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</si>
  <si>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</si>
  <si>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</si>
  <si>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</si>
  <si>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</si>
  <si>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</si>
  <si>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</si>
  <si>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</si>
  <si>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</si>
  <si>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</si>
  <si>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</si>
  <si>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</si>
  <si>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</si>
  <si>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</si>
  <si>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</si>
  <si>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</si>
  <si>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</si>
  <si>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</si>
  <si>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</si>
  <si>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</si>
  <si>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</si>
  <si>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</si>
  <si>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</si>
  <si>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</si>
  <si>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</si>
  <si>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</si>
  <si>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</si>
  <si>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</si>
  <si>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</si>
  <si>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</si>
  <si>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</si>
  <si>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</si>
  <si>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</si>
  <si>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</si>
  <si>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</si>
  <si>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</si>
  <si>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</si>
  <si>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</si>
  <si>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</si>
  <si>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</si>
  <si>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</si>
  <si>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</si>
  <si>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</si>
  <si>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</si>
  <si>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</si>
  <si>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</si>
  <si>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</si>
  <si>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</si>
  <si>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</si>
  <si>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</si>
  <si>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</si>
  <si>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</si>
  <si>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</si>
  <si>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</si>
  <si>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</si>
  <si>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</si>
  <si>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</si>
  <si>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</si>
  <si>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</si>
  <si>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</si>
  <si>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</si>
  <si>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</si>
  <si>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</si>
  <si>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</si>
  <si>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</si>
  <si>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</si>
  <si>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</si>
  <si>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</si>
  <si>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</si>
  <si>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</si>
  <si>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</si>
  <si>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</si>
  <si>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</si>
  <si>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</si>
  <si>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</si>
  <si>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</si>
  <si>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</si>
  <si>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</si>
  <si>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</si>
  <si>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</si>
  <si>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</si>
  <si>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</si>
  <si>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</si>
  <si>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</si>
  <si>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</si>
  <si>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</si>
  <si>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</si>
  <si>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</si>
  <si>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</si>
  <si>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</si>
  <si>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</si>
  <si>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</si>
  <si>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</si>
  <si>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</si>
  <si>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</si>
  <si>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</si>
  <si>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</si>
  <si>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</si>
  <si>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</si>
  <si>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</si>
  <si>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</si>
  <si>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</si>
  <si>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</si>
  <si>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</si>
  <si>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</si>
  <si>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</si>
  <si>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</si>
  <si>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</si>
  <si>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</si>
  <si>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</si>
  <si>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</si>
  <si>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</si>
  <si>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</si>
  <si>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</si>
  <si>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</si>
  <si>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</si>
  <si>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</si>
  <si>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</si>
  <si>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</si>
  <si>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</si>
  <si>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</si>
  <si>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</si>
  <si>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</si>
  <si>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</si>
  <si>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</si>
  <si>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</si>
  <si>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</si>
  <si>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</si>
  <si>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</si>
  <si>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</si>
  <si>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</si>
  <si>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</si>
  <si>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</si>
  <si>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</si>
  <si>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</si>
  <si>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</si>
  <si>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</si>
  <si>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</si>
  <si>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</si>
  <si>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</si>
  <si>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</si>
  <si>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</si>
  <si>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</si>
  <si>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</si>
  <si>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</si>
  <si>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</si>
  <si>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</si>
  <si>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</si>
  <si>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</si>
  <si>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</si>
  <si>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</si>
  <si>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</si>
  <si>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</si>
  <si>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</si>
  <si>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</si>
  <si>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</si>
  <si>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</si>
  <si>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</si>
  <si>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</si>
  <si>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</si>
  <si>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</si>
  <si>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</si>
  <si>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</si>
  <si>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</si>
  <si>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</si>
  <si>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</si>
  <si>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</si>
  <si>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</si>
  <si>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</si>
  <si>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</si>
  <si>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</si>
  <si>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</si>
  <si>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</si>
  <si>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</si>
  <si>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</si>
  <si>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</si>
  <si>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</si>
  <si>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</si>
  <si>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</si>
  <si>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</si>
  <si>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</si>
  <si>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</si>
  <si>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</si>
  <si>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</si>
  <si>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</si>
  <si>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</si>
  <si>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</si>
  <si>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</si>
  <si>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</si>
  <si>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</si>
  <si>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</si>
  <si>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</si>
  <si>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</si>
  <si>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</si>
  <si>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</si>
  <si>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</si>
  <si>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</si>
  <si>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</si>
  <si>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</si>
  <si>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</si>
  <si>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</si>
  <si>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</si>
  <si>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</si>
  <si>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</si>
  <si>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</si>
  <si>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</si>
  <si>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</si>
  <si>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</si>
  <si>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</si>
  <si>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</si>
  <si>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</si>
  <si>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</si>
  <si>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</si>
  <si>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</si>
  <si>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</si>
  <si>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</si>
  <si>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</si>
  <si>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</si>
  <si>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</si>
  <si>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</si>
  <si>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</si>
  <si>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</si>
  <si>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</si>
  <si>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</si>
  <si>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</si>
  <si>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</si>
  <si>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</si>
  <si>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</si>
  <si>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</si>
  <si>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</si>
  <si>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</si>
  <si>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</si>
  <si>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</si>
  <si>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</si>
  <si>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</si>
  <si>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</si>
  <si>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</si>
  <si>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</si>
  <si>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</si>
  <si>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</si>
  <si>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</si>
  <si>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</si>
  <si>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</si>
  <si>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</si>
  <si>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</si>
  <si>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</si>
  <si>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</si>
  <si>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</si>
  <si>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</si>
  <si>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</si>
  <si>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</si>
  <si>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</si>
  <si>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</si>
  <si>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</si>
  <si>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</si>
  <si>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</si>
  <si>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</si>
  <si>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</si>
  <si>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</si>
  <si>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</si>
  <si>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</si>
  <si>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</si>
  <si>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</si>
  <si>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</si>
  <si>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</si>
  <si>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</si>
  <si>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</si>
  <si>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</si>
  <si>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</si>
  <si>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</si>
  <si>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</si>
  <si>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</si>
  <si>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</si>
  <si>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</si>
  <si>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</si>
  <si>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</si>
  <si>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</si>
  <si>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</si>
  <si>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</si>
  <si>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</si>
  <si>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</si>
  <si>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</si>
  <si>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</si>
  <si>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</si>
  <si>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</si>
  <si>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</si>
  <si>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</si>
  <si>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</si>
  <si>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</si>
  <si>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</si>
  <si>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</si>
  <si>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</si>
  <si>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</si>
  <si>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</si>
  <si>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</si>
  <si>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</si>
  <si>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</si>
  <si>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</si>
  <si>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</si>
  <si>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</si>
  <si>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</si>
  <si>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</si>
  <si>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</si>
  <si>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</si>
  <si>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</si>
  <si>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</si>
  <si>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</si>
  <si>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</si>
  <si>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</si>
  <si>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</si>
  <si>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</si>
  <si>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</si>
  <si>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</si>
  <si>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</si>
  <si>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</si>
  <si>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</si>
  <si>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</si>
  <si>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</si>
  <si>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</si>
  <si>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</si>
  <si>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</si>
  <si>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</si>
  <si>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</si>
  <si>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</si>
  <si>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</si>
  <si>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</si>
  <si>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</si>
  <si>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</si>
  <si>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</si>
  <si>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</si>
  <si>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</si>
  <si>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</si>
  <si>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</si>
  <si>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</si>
  <si>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</si>
  <si>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</si>
  <si>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</si>
  <si>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</si>
  <si>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</si>
  <si>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</si>
  <si>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</si>
  <si>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</si>
  <si>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</si>
  <si>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</si>
  <si>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</si>
  <si>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</si>
  <si>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</si>
  <si>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</si>
  <si>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</si>
  <si>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</si>
  <si>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</si>
  <si>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</si>
  <si>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</si>
  <si>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</si>
  <si>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</si>
  <si>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</si>
  <si>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</si>
  <si>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</si>
  <si>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</si>
  <si>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</si>
  <si>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</si>
  <si>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</si>
  <si>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</si>
  <si>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</si>
  <si>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</si>
  <si>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</si>
  <si>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</si>
  <si>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</si>
  <si>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</si>
  <si>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</si>
  <si>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</si>
  <si>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</si>
  <si>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</si>
  <si>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</si>
  <si>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</si>
  <si>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</si>
  <si>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</si>
  <si>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</si>
  <si>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</si>
  <si>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</si>
  <si>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</si>
  <si>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</si>
  <si>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</si>
  <si>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</si>
  <si>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</si>
  <si>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</si>
  <si>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</si>
  <si>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</si>
  <si>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</si>
  <si>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</si>
  <si>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</si>
  <si>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</si>
  <si>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</si>
  <si>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</si>
  <si>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</si>
  <si>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</si>
  <si>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</si>
  <si>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</si>
  <si>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</si>
  <si>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</si>
  <si>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</si>
  <si>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</si>
  <si>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</si>
  <si>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</si>
  <si>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</si>
  <si>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</si>
  <si>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</si>
  <si>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</si>
  <si>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</si>
  <si>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</si>
  <si>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</si>
  <si>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</si>
  <si>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</si>
  <si>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</si>
  <si>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</si>
  <si>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</si>
  <si>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</si>
  <si>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</si>
  <si>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</si>
  <si>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</si>
  <si>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</si>
  <si>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</si>
  <si>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</si>
  <si>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</si>
  <si>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</si>
  <si>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</si>
  <si>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</si>
  <si>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</si>
  <si>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</si>
  <si>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</si>
  <si>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</si>
  <si>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</si>
  <si>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</si>
  <si>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</si>
  <si>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</si>
  <si>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</si>
  <si>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</si>
  <si>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</si>
  <si>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</si>
  <si>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</si>
  <si>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</si>
  <si>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</si>
  <si>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</si>
  <si>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</si>
  <si>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</si>
  <si>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</si>
  <si>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</si>
  <si>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</si>
  <si>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</si>
  <si>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</si>
  <si>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</si>
  <si>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</si>
  <si>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</si>
  <si>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</si>
  <si>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</si>
  <si>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</si>
  <si>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</si>
  <si>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</si>
  <si>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</si>
  <si>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</si>
  <si>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</si>
  <si>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</si>
  <si>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</si>
  <si>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</si>
  <si>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</si>
  <si>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</si>
  <si>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</si>
  <si>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</si>
  <si>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</si>
  <si>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</si>
  <si>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</si>
  <si>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</si>
  <si>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</si>
  <si>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</si>
  <si>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</si>
  <si>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</si>
  <si>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</si>
  <si>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</si>
  <si>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</si>
  <si>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</si>
  <si>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</si>
  <si>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</si>
  <si>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</si>
  <si>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</si>
  <si>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FL250499</t>
  </si>
  <si>
    <t>Robin Moore</t>
  </si>
  <si>
    <t>ITALY</t>
  </si>
  <si>
    <t>ITALIAN</t>
  </si>
  <si>
    <t>BLOCKCHAIN DEVELOPMENT</t>
  </si>
  <si>
    <t>REVIEWED</t>
  </si>
  <si>
    <t>ON HOLD</t>
  </si>
  <si>
    <t>AUSTRALIA</t>
  </si>
  <si>
    <t>ENGLISH</t>
  </si>
  <si>
    <t>MOBILE APPS</t>
  </si>
  <si>
    <t>COMPLETED</t>
  </si>
  <si>
    <t>GERMANY</t>
  </si>
  <si>
    <t>GRAPHIC DESIGN</t>
  </si>
  <si>
    <t>ACTIVE</t>
  </si>
  <si>
    <t>WEB DEVELOPMENT</t>
  </si>
  <si>
    <t>Lynn Curtis Dds</t>
  </si>
  <si>
    <t>MACHINE LEARNING</t>
  </si>
  <si>
    <t>NETHERLANDS</t>
  </si>
  <si>
    <t>DUTCH</t>
  </si>
  <si>
    <t>URGENT</t>
  </si>
  <si>
    <t>INDONESIA</t>
  </si>
  <si>
    <t>INDONESIAN</t>
  </si>
  <si>
    <t>DATA ANALYSIS</t>
  </si>
  <si>
    <t>INACTIVE</t>
  </si>
  <si>
    <t>TURKEY</t>
  </si>
  <si>
    <t>TURKISH</t>
  </si>
  <si>
    <t>PENDING</t>
  </si>
  <si>
    <t>FOLLOW-UP</t>
  </si>
  <si>
    <t>ARGENTINA</t>
  </si>
  <si>
    <t>SPANISH</t>
  </si>
  <si>
    <t>UI/UX DESIGN</t>
  </si>
  <si>
    <t>CYBERSECURITY</t>
  </si>
  <si>
    <t>SOUTH KOREA</t>
  </si>
  <si>
    <t>JAPAN</t>
  </si>
  <si>
    <t>JAPANESE</t>
  </si>
  <si>
    <t>DEVOPS</t>
  </si>
  <si>
    <t>INDIA</t>
  </si>
  <si>
    <t>HINDI</t>
  </si>
  <si>
    <t>BRAZIL</t>
  </si>
  <si>
    <t>PORTUGUESE</t>
  </si>
  <si>
    <t>KOREAN</t>
  </si>
  <si>
    <t>RUSSIA</t>
  </si>
  <si>
    <t>RUSSIAN</t>
  </si>
  <si>
    <t>CANADA</t>
  </si>
  <si>
    <t>FRANCE</t>
  </si>
  <si>
    <t>FRENCH</t>
  </si>
  <si>
    <t>EGYPT</t>
  </si>
  <si>
    <t>ARABIC</t>
  </si>
  <si>
    <t>SOUTH AFRICA</t>
  </si>
  <si>
    <t>AFRIKAANS</t>
  </si>
  <si>
    <t>CHINA</t>
  </si>
  <si>
    <t>MANDARIN</t>
  </si>
  <si>
    <t>MEXICO</t>
  </si>
  <si>
    <t>SPAIN</t>
  </si>
  <si>
    <t>Allison Tucker Md</t>
  </si>
  <si>
    <t>Anthony Goodwin Dds</t>
  </si>
  <si>
    <t>Joel Brown Iii</t>
  </si>
  <si>
    <t>Anthony Huynh Md</t>
  </si>
  <si>
    <t>Natalie Frank Md</t>
  </si>
  <si>
    <t>Adam Kelly Phd</t>
  </si>
  <si>
    <t>Mr. Danny Morris Dds</t>
  </si>
  <si>
    <t>Aaron Stewart Phd</t>
  </si>
  <si>
    <t>Column3</t>
  </si>
  <si>
    <t>Cleaned Hourly rate</t>
  </si>
  <si>
    <t>0</t>
  </si>
  <si>
    <t>Name</t>
  </si>
  <si>
    <t>Freelancer Id.</t>
  </si>
  <si>
    <t>Gender</t>
  </si>
  <si>
    <t>AGE</t>
  </si>
  <si>
    <t>Country</t>
  </si>
  <si>
    <t>Language</t>
  </si>
  <si>
    <t>Primary skills</t>
  </si>
  <si>
    <t>yrs of Exp.</t>
  </si>
  <si>
    <t>Cleaned Hourly Rate</t>
  </si>
  <si>
    <t>Rating</t>
  </si>
  <si>
    <t>1. VLOOKUP was used to find data from a table.</t>
  </si>
  <si>
    <t>2. It searched using a unique value (lookup value).</t>
  </si>
  <si>
    <t>3. It returned the corresponding information from another column.</t>
  </si>
  <si>
    <t>4. It reduced manual searching and saved time.</t>
  </si>
  <si>
    <t>5. It improved the accuracy of data retrieval.</t>
  </si>
  <si>
    <t>1. VLOOKUP works correctly when the lookup value is available.</t>
  </si>
  <si>
    <t>2. It searches only the first column of the selected table.</t>
  </si>
  <si>
    <r>
      <t xml:space="preserve">3. Using </t>
    </r>
    <r>
      <rPr>
        <b/>
        <sz val="11"/>
        <color theme="1"/>
        <rFont val="Calibri"/>
        <family val="2"/>
        <scheme val="minor"/>
      </rPr>
      <t>FALSE</t>
    </r>
    <r>
      <rPr>
        <sz val="11"/>
        <color theme="1"/>
        <rFont val="Calibri"/>
        <family val="2"/>
        <scheme val="minor"/>
      </rPr>
      <t xml:space="preserve"> gives an exact match.</t>
    </r>
  </si>
  <si>
    <r>
      <t xml:space="preserve">4. If the value is not found, it returns </t>
    </r>
    <r>
      <rPr>
        <b/>
        <sz val="11"/>
        <color theme="1"/>
        <rFont val="Calibri"/>
        <family val="2"/>
        <scheme val="minor"/>
      </rPr>
      <t>#N/A</t>
    </r>
    <r>
      <rPr>
        <sz val="11"/>
        <color theme="1"/>
        <rFont val="Calibri"/>
        <family val="2"/>
        <scheme val="minor"/>
      </rPr>
      <t>.</t>
    </r>
  </si>
  <si>
    <t>5. VLOOKUP makes data lookup faster and more efficient.</t>
  </si>
  <si>
    <t>Summary</t>
  </si>
  <si>
    <t>Observations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</si>
</sst>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$-409]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9" fontId="0" fillId="0" borderId="0" xfId="42" applyFon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0" xfId="0" applyNumberFormat="1"/>
    <xf numFmtId="165" fontId="0" fillId="0" borderId="0" xfId="0" applyNumberFormat="1"/>
    <xf numFmtId="0" fontId="18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numFmt numFmtId="0" formatCode="General"/>
    </dxf>
    <dxf>
      <numFmt numFmtId="0" formatCode="General"/>
    </dxf>
    <dxf>
      <numFmt numFmtId="165" formatCode="[$$-409]#,##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9D4164-1AB9-48FD-850B-E47168D199EB}" name="DAY_8" displayName="DAY_8" ref="A1:R500" totalsRowShown="0">
  <autoFilter ref="A1:R500" xr:uid="{669D4164-1AB9-48FD-850B-E47168D199EB}"/>
  <tableColumns count="18">
    <tableColumn id="2" xr3:uid="{9375BE55-43D4-4F81-9362-833FCFED72A4}" name="name" dataDxfId="20"/>
    <tableColumn id="19" xr3:uid="{DF68A15D-3517-4909-9045-55900393599D}" name="Freelancer Id."/>
    <tableColumn id="3" xr3:uid="{EDAC1A89-A193-4155-9824-C4818E69D145}" name="gender" dataDxfId="19"/>
    <tableColumn id="4" xr3:uid="{3810D399-AFA7-4CD0-8829-8739A35A0563}" name="age"/>
    <tableColumn id="5" xr3:uid="{D7466F4A-4419-42A2-9124-2EE2B4B39EAB}" name="country" dataDxfId="18"/>
    <tableColumn id="6" xr3:uid="{7EBFA6F1-8BB7-45C1-A6BA-4A7735162684}" name="language" dataDxfId="17"/>
    <tableColumn id="7" xr3:uid="{E41193C6-1374-4254-8CAA-8B4E0B475C9C}" name="primary_skill" dataDxfId="16"/>
    <tableColumn id="8" xr3:uid="{B37F9F42-F242-4AFF-AC53-C749000F8495}" name="years_of_experience"/>
    <tableColumn id="9" xr3:uid="{09FC3EC4-1014-4B5E-B6E6-BDEEDD2925A8}" name="hourly_rate (USD)"/>
    <tableColumn id="10" xr3:uid="{693FAAD1-2633-443C-B96F-F0785B07BE37}" name="Cleaned Hourly rate" dataDxfId="2"/>
    <tableColumn id="11" xr3:uid="{68C2E365-79F0-475F-A388-173E5170B477}" name="rating"/>
    <tableColumn id="12" xr3:uid="{6C6B22E2-C3AF-4E78-A13F-6406E39E1FE1}" name="is_active"/>
    <tableColumn id="13" xr3:uid="{B93887EB-7ADC-4E3A-978F-FF78E3FD539F}" name="0"/>
    <tableColumn id="14" xr3:uid="{021F2C0A-5022-40E5-A73C-21DEB31210D7}" name="Column3" dataCellStyle="Percent"/>
    <tableColumn id="15" xr3:uid="{26DD3E17-BDF7-4D65-BA67-7AAF00FF49A2}" name="Notes" dataDxfId="15"/>
    <tableColumn id="16" xr3:uid="{11E63F88-736D-4273-97FD-AC87C95A072C}" name="Status" dataDxfId="14"/>
    <tableColumn id="17" xr3:uid="{58654C53-FD14-4B05-8198-69241743D1E9}" name="no of projects "/>
    <tableColumn id="18" xr3:uid="{04A66BD7-7BC8-4B5B-92DB-2AC144A9D862}" name="duration_months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E0C32F-5253-4593-AF6F-9EF6AFAB3961}" name="Table2" displayName="Table2" ref="A1:J500" totalsRowShown="0" headerRowBorderDxfId="12" tableBorderDxfId="13" totalsRowBorderDxfId="11">
  <autoFilter ref="A1:J500" xr:uid="{75E0C32F-5253-4593-AF6F-9EF6AFAB3961}"/>
  <tableColumns count="10">
    <tableColumn id="1" xr3:uid="{B238B395-95E3-45B7-9B39-059E3BD7B414}" name="Name" dataDxfId="10"/>
    <tableColumn id="3" xr3:uid="{9186D2C2-3771-49B9-8C97-A8790CC6C606}" name="Freelancer Id." dataDxfId="9">
      <calculatedColumnFormula>VLOOKUP(A2,DAY_8[],2,0)</calculatedColumnFormula>
    </tableColumn>
    <tableColumn id="4" xr3:uid="{CE714B8A-7018-485D-ACAD-AFCFF1627D29}" name="Gender" dataDxfId="8">
      <calculatedColumnFormula>VLOOKUP(A2,DAY_8[],3,0)</calculatedColumnFormula>
    </tableColumn>
    <tableColumn id="5" xr3:uid="{B6873165-C84B-4BD7-90A8-A26EA5E27D52}" name="AGE" dataDxfId="7">
      <calculatedColumnFormula>VLOOKUP(A2,DAY_8[],4,0)</calculatedColumnFormula>
    </tableColumn>
    <tableColumn id="6" xr3:uid="{A3CD5603-0213-40EE-9F4B-37FD490DC50D}" name="Country" dataDxfId="6">
      <calculatedColumnFormula>VLOOKUP(A2,DAY_8[],5,0)</calculatedColumnFormula>
    </tableColumn>
    <tableColumn id="7" xr3:uid="{3DC86AA8-7084-4A5D-AA9D-5717FC7D5996}" name="Language" dataDxfId="5">
      <calculatedColumnFormula>VLOOKUP(A2,DAY_8[],6,0)</calculatedColumnFormula>
    </tableColumn>
    <tableColumn id="8" xr3:uid="{ABFFF0D7-DDD8-4753-8C69-18E058D5836E}" name="Primary skills" dataDxfId="4">
      <calculatedColumnFormula>VLOOKUP(A2,DAY_8[],7,0)</calculatedColumnFormula>
    </tableColumn>
    <tableColumn id="9" xr3:uid="{4C98D19F-702F-4567-B930-BAAFD1ACB1CA}" name="yrs of Exp." dataDxfId="3">
      <calculatedColumnFormula>VLOOKUP(A2,DAY_8[],8,0)</calculatedColumnFormula>
    </tableColumn>
    <tableColumn id="10" xr3:uid="{51E74E2D-C0B7-4300-A15E-3821C7052A74}" name="Cleaned Hourly Rate" dataDxfId="1">
      <calculatedColumnFormula>VLOOKUP(A2,DAY_8[],10,0)</calculatedColumnFormula>
    </tableColumn>
    <tableColumn id="11" xr3:uid="{82295026-9356-4BBC-ADE0-E08E57CE093D}" name="Rating" dataDxfId="0">
      <calculatedColumnFormula>VLOOKUP(A2,DAY_8[],11,0)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947D5-63A6-4ABA-9DF1-C2EE0D4C7652}">
  <dimension ref="A1:R500"/>
  <sheetViews>
    <sheetView topLeftCell="D1" workbookViewId="0">
      <selection activeCell="J2" sqref="J2:J500"/>
    </sheetView>
  </sheetViews>
  <sheetFormatPr defaultRowHeight="15" x14ac:dyDescent="0.25"/>
  <cols>
    <col min="1" max="1" width="15.42578125" bestFit="1" customWidth="1"/>
    <col min="2" max="2" width="23" bestFit="1" customWidth="1"/>
    <col min="3" max="3" width="23" customWidth="1"/>
    <col min="4" max="4" width="9.5703125" bestFit="1" customWidth="1"/>
    <col min="5" max="5" width="6.42578125" bestFit="1" customWidth="1"/>
    <col min="6" max="6" width="14" bestFit="1" customWidth="1"/>
    <col min="7" max="7" width="12.5703125" bestFit="1" customWidth="1"/>
    <col min="8" max="8" width="26.5703125" bestFit="1" customWidth="1"/>
    <col min="9" max="9" width="22.140625" bestFit="1" customWidth="1"/>
    <col min="10" max="10" width="19.28515625" bestFit="1" customWidth="1"/>
    <col min="11" max="11" width="21.140625" bestFit="1" customWidth="1"/>
    <col min="12" max="12" width="8.42578125" bestFit="1" customWidth="1"/>
    <col min="13" max="13" width="11" bestFit="1" customWidth="1"/>
    <col min="14" max="14" width="5" bestFit="1" customWidth="1"/>
    <col min="15" max="15" width="11.140625" bestFit="1" customWidth="1"/>
    <col min="16" max="17" width="11.5703125" bestFit="1" customWidth="1"/>
    <col min="18" max="18" width="16" bestFit="1" customWidth="1"/>
    <col min="19" max="19" width="18.7109375" bestFit="1" customWidth="1"/>
  </cols>
  <sheetData>
    <row r="1" spans="1:18" x14ac:dyDescent="0.25">
      <c r="A1" t="s">
        <v>0</v>
      </c>
      <c r="B1" t="s">
        <v>1081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1078</v>
      </c>
      <c r="K1" t="s">
        <v>8</v>
      </c>
      <c r="L1" t="s">
        <v>9</v>
      </c>
      <c r="M1" t="s">
        <v>1079</v>
      </c>
      <c r="N1" t="s">
        <v>1077</v>
      </c>
      <c r="O1" t="s">
        <v>10</v>
      </c>
      <c r="P1" t="s">
        <v>11</v>
      </c>
      <c r="Q1" t="s">
        <v>12</v>
      </c>
      <c r="R1" t="s">
        <v>13</v>
      </c>
    </row>
    <row r="2" spans="1:18" x14ac:dyDescent="0.25">
      <c r="A2" t="s">
        <v>15</v>
      </c>
      <c r="B2" t="s">
        <v>14</v>
      </c>
      <c r="C2" t="s">
        <v>18</v>
      </c>
      <c r="D2">
        <v>52</v>
      </c>
      <c r="E2" t="s">
        <v>1017</v>
      </c>
      <c r="F2" t="s">
        <v>1018</v>
      </c>
      <c r="G2" t="s">
        <v>1019</v>
      </c>
      <c r="H2">
        <v>11</v>
      </c>
      <c r="I2">
        <v>100</v>
      </c>
      <c r="J2" s="6">
        <v>100</v>
      </c>
      <c r="K2">
        <v>2.4</v>
      </c>
      <c r="L2" t="b">
        <v>0</v>
      </c>
      <c r="N2" s="1">
        <v>0.78</v>
      </c>
      <c r="O2" t="s">
        <v>1020</v>
      </c>
      <c r="P2" t="s">
        <v>1021</v>
      </c>
      <c r="Q2">
        <v>13</v>
      </c>
      <c r="R2">
        <v>6</v>
      </c>
    </row>
    <row r="3" spans="1:18" x14ac:dyDescent="0.25">
      <c r="A3" t="s">
        <v>17</v>
      </c>
      <c r="B3" t="s">
        <v>16</v>
      </c>
      <c r="C3" t="s">
        <v>18</v>
      </c>
      <c r="D3">
        <v>52</v>
      </c>
      <c r="E3" t="s">
        <v>1022</v>
      </c>
      <c r="F3" t="s">
        <v>1023</v>
      </c>
      <c r="G3" t="s">
        <v>1024</v>
      </c>
      <c r="H3">
        <v>34</v>
      </c>
      <c r="I3" t="s">
        <v>19</v>
      </c>
      <c r="J3" s="6">
        <v>100</v>
      </c>
      <c r="K3">
        <v>3.3</v>
      </c>
      <c r="L3" t="b">
        <v>1</v>
      </c>
      <c r="M3">
        <v>0.84</v>
      </c>
      <c r="N3" s="1">
        <v>0.84</v>
      </c>
      <c r="O3" t="s">
        <v>1020</v>
      </c>
      <c r="P3" t="s">
        <v>1025</v>
      </c>
      <c r="Q3">
        <v>10</v>
      </c>
      <c r="R3">
        <v>7</v>
      </c>
    </row>
    <row r="4" spans="1:18" x14ac:dyDescent="0.25">
      <c r="A4" t="s">
        <v>21</v>
      </c>
      <c r="B4" t="s">
        <v>20</v>
      </c>
      <c r="C4" t="s">
        <v>41</v>
      </c>
      <c r="D4">
        <v>53</v>
      </c>
      <c r="E4" t="s">
        <v>1026</v>
      </c>
      <c r="F4" t="s">
        <v>1026</v>
      </c>
      <c r="G4" t="s">
        <v>1027</v>
      </c>
      <c r="H4">
        <v>31</v>
      </c>
      <c r="I4">
        <v>50</v>
      </c>
      <c r="J4" s="6">
        <v>50</v>
      </c>
      <c r="K4">
        <v>0</v>
      </c>
      <c r="L4" t="b">
        <v>0</v>
      </c>
      <c r="M4">
        <v>0.71</v>
      </c>
      <c r="N4" s="1">
        <v>0.71</v>
      </c>
      <c r="O4" t="s">
        <v>1020</v>
      </c>
      <c r="P4" t="s">
        <v>1028</v>
      </c>
      <c r="Q4">
        <v>16</v>
      </c>
      <c r="R4">
        <v>16</v>
      </c>
    </row>
    <row r="5" spans="1:18" x14ac:dyDescent="0.25">
      <c r="A5" t="s">
        <v>23</v>
      </c>
      <c r="B5" t="s">
        <v>22</v>
      </c>
      <c r="C5" t="s">
        <v>18</v>
      </c>
      <c r="D5">
        <v>38</v>
      </c>
      <c r="E5" t="s">
        <v>1022</v>
      </c>
      <c r="F5" t="s">
        <v>1023</v>
      </c>
      <c r="G5" t="s">
        <v>1029</v>
      </c>
      <c r="H5">
        <v>4</v>
      </c>
      <c r="I5" t="s">
        <v>24</v>
      </c>
      <c r="J5" s="6">
        <v>40</v>
      </c>
      <c r="K5">
        <v>1.5</v>
      </c>
      <c r="L5" t="b">
        <v>0</v>
      </c>
      <c r="M5">
        <v>0.9</v>
      </c>
      <c r="N5" s="1">
        <v>0.9</v>
      </c>
      <c r="O5" t="s">
        <v>1020</v>
      </c>
      <c r="P5" t="s">
        <v>1025</v>
      </c>
      <c r="Q5">
        <v>5</v>
      </c>
      <c r="R5">
        <v>1</v>
      </c>
    </row>
    <row r="6" spans="1:18" x14ac:dyDescent="0.25">
      <c r="A6" t="s">
        <v>1030</v>
      </c>
      <c r="B6" t="s">
        <v>25</v>
      </c>
      <c r="C6" t="s">
        <v>18</v>
      </c>
      <c r="D6">
        <v>53</v>
      </c>
      <c r="E6" t="s">
        <v>1026</v>
      </c>
      <c r="F6" t="s">
        <v>1026</v>
      </c>
      <c r="G6" t="s">
        <v>1031</v>
      </c>
      <c r="H6">
        <v>27</v>
      </c>
      <c r="I6">
        <v>30</v>
      </c>
      <c r="J6" s="6">
        <v>30</v>
      </c>
      <c r="K6">
        <v>4.8</v>
      </c>
      <c r="L6" t="b">
        <v>0</v>
      </c>
      <c r="M6">
        <v>0.83</v>
      </c>
      <c r="N6" s="1">
        <v>0.83</v>
      </c>
      <c r="O6" t="s">
        <v>1020</v>
      </c>
      <c r="P6" t="s">
        <v>1021</v>
      </c>
      <c r="Q6">
        <v>13</v>
      </c>
      <c r="R6">
        <v>3</v>
      </c>
    </row>
    <row r="7" spans="1:18" x14ac:dyDescent="0.25">
      <c r="A7" t="s">
        <v>27</v>
      </c>
      <c r="B7" t="s">
        <v>26</v>
      </c>
      <c r="C7" t="s">
        <v>18</v>
      </c>
      <c r="D7">
        <v>59</v>
      </c>
      <c r="E7" t="s">
        <v>1032</v>
      </c>
      <c r="F7" t="s">
        <v>1033</v>
      </c>
      <c r="G7" t="s">
        <v>28</v>
      </c>
      <c r="H7">
        <v>14</v>
      </c>
      <c r="I7" t="s">
        <v>29</v>
      </c>
      <c r="J7" s="6">
        <v>30</v>
      </c>
      <c r="K7">
        <v>2.4</v>
      </c>
      <c r="L7" t="b">
        <v>0</v>
      </c>
      <c r="N7" s="1">
        <v>0.78</v>
      </c>
      <c r="O7" t="s">
        <v>1034</v>
      </c>
      <c r="P7" t="s">
        <v>1028</v>
      </c>
      <c r="Q7">
        <v>8</v>
      </c>
      <c r="R7">
        <v>3</v>
      </c>
    </row>
    <row r="8" spans="1:18" x14ac:dyDescent="0.25">
      <c r="A8" t="s">
        <v>31</v>
      </c>
      <c r="B8" t="s">
        <v>30</v>
      </c>
      <c r="C8" t="s">
        <v>41</v>
      </c>
      <c r="D8">
        <v>52</v>
      </c>
      <c r="E8" t="s">
        <v>1035</v>
      </c>
      <c r="F8" t="s">
        <v>1036</v>
      </c>
      <c r="G8" t="s">
        <v>1037</v>
      </c>
      <c r="H8">
        <v>10</v>
      </c>
      <c r="I8" t="s">
        <v>32</v>
      </c>
      <c r="J8" s="6">
        <v>75</v>
      </c>
      <c r="K8">
        <v>3.1</v>
      </c>
      <c r="L8" t="b">
        <v>0</v>
      </c>
      <c r="M8">
        <v>0.94</v>
      </c>
      <c r="N8" s="1">
        <v>0.94</v>
      </c>
      <c r="O8" t="s">
        <v>1020</v>
      </c>
      <c r="P8" t="s">
        <v>1021</v>
      </c>
      <c r="Q8">
        <v>10</v>
      </c>
      <c r="R8">
        <v>3</v>
      </c>
    </row>
    <row r="9" spans="1:18" x14ac:dyDescent="0.25">
      <c r="A9" t="s">
        <v>34</v>
      </c>
      <c r="B9" t="s">
        <v>33</v>
      </c>
      <c r="C9" t="s">
        <v>41</v>
      </c>
      <c r="D9">
        <v>43</v>
      </c>
      <c r="E9" t="s">
        <v>1017</v>
      </c>
      <c r="F9" t="s">
        <v>1018</v>
      </c>
      <c r="G9" t="s">
        <v>1019</v>
      </c>
      <c r="H9">
        <v>14</v>
      </c>
      <c r="I9" t="s">
        <v>35</v>
      </c>
      <c r="J9" s="6">
        <v>40</v>
      </c>
      <c r="K9">
        <v>4.5999999999999996</v>
      </c>
      <c r="L9" t="b">
        <v>0</v>
      </c>
      <c r="M9">
        <v>0.94</v>
      </c>
      <c r="N9" s="1">
        <v>0.94</v>
      </c>
      <c r="O9" t="s">
        <v>1034</v>
      </c>
      <c r="P9" t="s">
        <v>1021</v>
      </c>
      <c r="Q9">
        <v>7</v>
      </c>
      <c r="R9">
        <v>10</v>
      </c>
    </row>
    <row r="10" spans="1:18" x14ac:dyDescent="0.25">
      <c r="A10" t="s">
        <v>37</v>
      </c>
      <c r="B10" t="s">
        <v>36</v>
      </c>
      <c r="C10" t="s">
        <v>41</v>
      </c>
      <c r="D10">
        <v>26</v>
      </c>
      <c r="E10" t="s">
        <v>38</v>
      </c>
      <c r="F10" t="s">
        <v>1023</v>
      </c>
      <c r="G10" t="s">
        <v>1019</v>
      </c>
      <c r="H10">
        <v>4</v>
      </c>
      <c r="J10" s="6">
        <v>70</v>
      </c>
      <c r="K10">
        <v>4</v>
      </c>
      <c r="L10" t="b">
        <v>1</v>
      </c>
      <c r="M10">
        <v>0.76</v>
      </c>
      <c r="N10" s="1">
        <v>0.76</v>
      </c>
      <c r="O10" t="s">
        <v>1020</v>
      </c>
      <c r="P10" t="s">
        <v>1038</v>
      </c>
      <c r="Q10">
        <v>2</v>
      </c>
      <c r="R10">
        <v>4</v>
      </c>
    </row>
    <row r="11" spans="1:18" x14ac:dyDescent="0.25">
      <c r="A11" t="s">
        <v>40</v>
      </c>
      <c r="B11" t="s">
        <v>39</v>
      </c>
      <c r="C11" t="s">
        <v>41</v>
      </c>
      <c r="D11">
        <v>52</v>
      </c>
      <c r="E11" t="s">
        <v>1039</v>
      </c>
      <c r="F11" t="s">
        <v>1040</v>
      </c>
      <c r="G11" t="s">
        <v>28</v>
      </c>
      <c r="H11">
        <v>22</v>
      </c>
      <c r="I11" t="s">
        <v>42</v>
      </c>
      <c r="J11" s="6">
        <v>50</v>
      </c>
      <c r="K11">
        <v>2.4</v>
      </c>
      <c r="L11" t="b">
        <v>1</v>
      </c>
      <c r="N11" s="1">
        <v>0.78</v>
      </c>
      <c r="O11" t="s">
        <v>1041</v>
      </c>
      <c r="P11" t="s">
        <v>1028</v>
      </c>
      <c r="Q11">
        <v>16</v>
      </c>
      <c r="R11">
        <v>5</v>
      </c>
    </row>
    <row r="12" spans="1:18" x14ac:dyDescent="0.25">
      <c r="A12" t="s">
        <v>44</v>
      </c>
      <c r="B12" t="s">
        <v>43</v>
      </c>
      <c r="C12" t="s">
        <v>41</v>
      </c>
      <c r="D12">
        <v>40</v>
      </c>
      <c r="E12" t="s">
        <v>45</v>
      </c>
      <c r="F12" t="s">
        <v>1023</v>
      </c>
      <c r="G12" t="s">
        <v>1037</v>
      </c>
      <c r="H12">
        <v>17</v>
      </c>
      <c r="I12">
        <v>40</v>
      </c>
      <c r="J12" s="6">
        <v>40</v>
      </c>
      <c r="K12">
        <v>3.6</v>
      </c>
      <c r="L12" t="b">
        <v>1</v>
      </c>
      <c r="M12">
        <v>0.77</v>
      </c>
      <c r="N12" s="1">
        <v>0.77</v>
      </c>
      <c r="O12" t="s">
        <v>1042</v>
      </c>
      <c r="P12" t="s">
        <v>1038</v>
      </c>
      <c r="Q12">
        <v>20</v>
      </c>
      <c r="R12">
        <v>5</v>
      </c>
    </row>
    <row r="13" spans="1:18" x14ac:dyDescent="0.25">
      <c r="A13" t="s">
        <v>47</v>
      </c>
      <c r="B13" t="s">
        <v>46</v>
      </c>
      <c r="C13" t="s">
        <v>18</v>
      </c>
      <c r="D13">
        <v>55</v>
      </c>
      <c r="E13" t="s">
        <v>1043</v>
      </c>
      <c r="F13" t="s">
        <v>1044</v>
      </c>
      <c r="G13" t="s">
        <v>1045</v>
      </c>
      <c r="H13">
        <v>15</v>
      </c>
      <c r="J13" s="6">
        <v>70</v>
      </c>
      <c r="K13">
        <v>2.4</v>
      </c>
      <c r="L13" t="b">
        <v>1</v>
      </c>
      <c r="M13">
        <v>0.86</v>
      </c>
      <c r="N13" s="1">
        <v>0.86</v>
      </c>
      <c r="O13" t="s">
        <v>1034</v>
      </c>
      <c r="P13" t="s">
        <v>1028</v>
      </c>
      <c r="Q13">
        <v>13</v>
      </c>
      <c r="R13">
        <v>4</v>
      </c>
    </row>
    <row r="14" spans="1:18" x14ac:dyDescent="0.25">
      <c r="A14" t="s">
        <v>49</v>
      </c>
      <c r="B14" t="s">
        <v>48</v>
      </c>
      <c r="C14" t="s">
        <v>18</v>
      </c>
      <c r="D14">
        <v>57</v>
      </c>
      <c r="E14" t="s">
        <v>45</v>
      </c>
      <c r="F14" t="s">
        <v>1023</v>
      </c>
      <c r="G14" t="s">
        <v>1046</v>
      </c>
      <c r="H14">
        <v>18</v>
      </c>
      <c r="J14" s="6">
        <v>70</v>
      </c>
      <c r="K14">
        <v>2</v>
      </c>
      <c r="L14" t="b">
        <v>0</v>
      </c>
      <c r="M14">
        <v>0.86</v>
      </c>
      <c r="N14" s="1">
        <v>0.86</v>
      </c>
      <c r="O14" t="s">
        <v>1020</v>
      </c>
      <c r="P14" t="s">
        <v>1021</v>
      </c>
      <c r="Q14">
        <v>16</v>
      </c>
      <c r="R14">
        <v>15</v>
      </c>
    </row>
    <row r="15" spans="1:18" x14ac:dyDescent="0.25">
      <c r="A15" t="s">
        <v>51</v>
      </c>
      <c r="B15" t="s">
        <v>50</v>
      </c>
      <c r="C15" t="s">
        <v>41</v>
      </c>
      <c r="D15">
        <v>38</v>
      </c>
      <c r="E15" t="s">
        <v>1047</v>
      </c>
      <c r="F15" t="s">
        <v>1044</v>
      </c>
      <c r="G15" t="s">
        <v>1027</v>
      </c>
      <c r="H15">
        <v>20</v>
      </c>
      <c r="I15" t="s">
        <v>32</v>
      </c>
      <c r="J15" s="6">
        <v>75</v>
      </c>
      <c r="K15">
        <v>2.9</v>
      </c>
      <c r="L15" t="b">
        <v>1</v>
      </c>
      <c r="M15">
        <v>0.93</v>
      </c>
      <c r="N15" s="1">
        <v>0.93</v>
      </c>
      <c r="O15" t="s">
        <v>1041</v>
      </c>
      <c r="P15" t="s">
        <v>1021</v>
      </c>
      <c r="Q15">
        <v>17</v>
      </c>
      <c r="R15">
        <v>12</v>
      </c>
    </row>
    <row r="16" spans="1:18" x14ac:dyDescent="0.25">
      <c r="A16" t="s">
        <v>53</v>
      </c>
      <c r="B16" t="s">
        <v>52</v>
      </c>
      <c r="C16" t="s">
        <v>41</v>
      </c>
      <c r="D16">
        <v>50</v>
      </c>
      <c r="E16" t="s">
        <v>1026</v>
      </c>
      <c r="F16" t="s">
        <v>1026</v>
      </c>
      <c r="G16" t="s">
        <v>1037</v>
      </c>
      <c r="H16">
        <v>22</v>
      </c>
      <c r="I16">
        <v>75</v>
      </c>
      <c r="J16" s="6">
        <v>75</v>
      </c>
      <c r="K16">
        <v>3.7</v>
      </c>
      <c r="L16" t="b">
        <v>1</v>
      </c>
      <c r="M16">
        <v>0.7</v>
      </c>
      <c r="N16" s="1">
        <v>0.7</v>
      </c>
      <c r="O16" t="s">
        <v>1042</v>
      </c>
      <c r="P16" t="s">
        <v>1025</v>
      </c>
      <c r="Q16">
        <v>14</v>
      </c>
      <c r="R16">
        <v>6</v>
      </c>
    </row>
    <row r="17" spans="1:18" x14ac:dyDescent="0.25">
      <c r="A17" t="s">
        <v>55</v>
      </c>
      <c r="B17" t="s">
        <v>54</v>
      </c>
      <c r="C17" t="s">
        <v>41</v>
      </c>
      <c r="D17">
        <v>42</v>
      </c>
      <c r="E17" t="s">
        <v>1048</v>
      </c>
      <c r="F17" t="s">
        <v>1049</v>
      </c>
      <c r="G17" t="s">
        <v>1031</v>
      </c>
      <c r="H17">
        <v>0</v>
      </c>
      <c r="I17" t="s">
        <v>29</v>
      </c>
      <c r="J17" s="6">
        <v>30</v>
      </c>
      <c r="K17">
        <v>1.2</v>
      </c>
      <c r="L17" t="b">
        <v>0</v>
      </c>
      <c r="M17">
        <v>0.69</v>
      </c>
      <c r="N17" s="1">
        <v>0.69</v>
      </c>
      <c r="O17" t="s">
        <v>1034</v>
      </c>
      <c r="P17" t="s">
        <v>1028</v>
      </c>
      <c r="Q17">
        <v>5</v>
      </c>
      <c r="R17">
        <v>2</v>
      </c>
    </row>
    <row r="18" spans="1:18" x14ac:dyDescent="0.25">
      <c r="A18" t="s">
        <v>57</v>
      </c>
      <c r="B18" t="s">
        <v>56</v>
      </c>
      <c r="C18" t="s">
        <v>18</v>
      </c>
      <c r="D18">
        <v>39</v>
      </c>
      <c r="E18" t="s">
        <v>1022</v>
      </c>
      <c r="F18" t="s">
        <v>1023</v>
      </c>
      <c r="G18" t="s">
        <v>1050</v>
      </c>
      <c r="H18">
        <v>13</v>
      </c>
      <c r="I18" t="s">
        <v>29</v>
      </c>
      <c r="J18" s="6">
        <v>30</v>
      </c>
      <c r="K18">
        <v>2.4</v>
      </c>
      <c r="L18" t="b">
        <v>0</v>
      </c>
      <c r="M18">
        <v>0.6</v>
      </c>
      <c r="N18" s="1">
        <v>0.6</v>
      </c>
      <c r="O18" t="s">
        <v>1042</v>
      </c>
      <c r="P18" t="s">
        <v>1038</v>
      </c>
      <c r="Q18">
        <v>7</v>
      </c>
      <c r="R18">
        <v>1</v>
      </c>
    </row>
    <row r="19" spans="1:18" x14ac:dyDescent="0.25">
      <c r="A19" t="s">
        <v>59</v>
      </c>
      <c r="B19" t="s">
        <v>58</v>
      </c>
      <c r="C19" t="s">
        <v>41</v>
      </c>
      <c r="D19">
        <v>56</v>
      </c>
      <c r="E19" t="s">
        <v>1051</v>
      </c>
      <c r="F19" t="s">
        <v>1052</v>
      </c>
      <c r="G19" t="s">
        <v>1019</v>
      </c>
      <c r="H19">
        <v>10</v>
      </c>
      <c r="J19" s="6">
        <v>70</v>
      </c>
      <c r="K19">
        <v>2.4</v>
      </c>
      <c r="L19" t="b">
        <v>0</v>
      </c>
      <c r="M19">
        <v>0.87</v>
      </c>
      <c r="N19" s="1">
        <v>0.87</v>
      </c>
      <c r="O19" t="s">
        <v>1041</v>
      </c>
      <c r="P19" t="s">
        <v>1025</v>
      </c>
      <c r="Q19">
        <v>1</v>
      </c>
      <c r="R19">
        <v>2</v>
      </c>
    </row>
    <row r="20" spans="1:18" x14ac:dyDescent="0.25">
      <c r="A20" t="s">
        <v>61</v>
      </c>
      <c r="B20" t="s">
        <v>60</v>
      </c>
      <c r="C20" t="s">
        <v>41</v>
      </c>
      <c r="D20">
        <v>56</v>
      </c>
      <c r="E20" t="s">
        <v>38</v>
      </c>
      <c r="F20" t="s">
        <v>1023</v>
      </c>
      <c r="G20" t="s">
        <v>1045</v>
      </c>
      <c r="H20">
        <v>31</v>
      </c>
      <c r="I20" t="s">
        <v>62</v>
      </c>
      <c r="J20" s="6">
        <v>50</v>
      </c>
      <c r="K20">
        <v>1.1000000000000001</v>
      </c>
      <c r="L20" t="b">
        <v>0</v>
      </c>
      <c r="M20">
        <v>0.75</v>
      </c>
      <c r="N20" s="1">
        <v>0.75</v>
      </c>
      <c r="O20" t="s">
        <v>1034</v>
      </c>
      <c r="P20" t="s">
        <v>1025</v>
      </c>
      <c r="Q20">
        <v>13</v>
      </c>
      <c r="R20">
        <v>3</v>
      </c>
    </row>
    <row r="21" spans="1:18" x14ac:dyDescent="0.25">
      <c r="A21" t="s">
        <v>64</v>
      </c>
      <c r="B21" t="s">
        <v>63</v>
      </c>
      <c r="C21" t="s">
        <v>41</v>
      </c>
      <c r="D21">
        <v>57</v>
      </c>
      <c r="E21" t="s">
        <v>1017</v>
      </c>
      <c r="F21" t="s">
        <v>1018</v>
      </c>
      <c r="G21" t="s">
        <v>1029</v>
      </c>
      <c r="H21">
        <v>3</v>
      </c>
      <c r="I21" t="s">
        <v>19</v>
      </c>
      <c r="J21" s="6">
        <v>100</v>
      </c>
      <c r="K21">
        <v>1.8</v>
      </c>
      <c r="L21" t="b">
        <v>1</v>
      </c>
      <c r="M21">
        <v>0.68</v>
      </c>
      <c r="N21" s="1">
        <v>0.68</v>
      </c>
      <c r="O21" t="s">
        <v>1042</v>
      </c>
      <c r="P21" t="s">
        <v>1025</v>
      </c>
      <c r="Q21">
        <v>1</v>
      </c>
      <c r="R21">
        <v>1</v>
      </c>
    </row>
    <row r="22" spans="1:18" x14ac:dyDescent="0.25">
      <c r="A22" t="s">
        <v>66</v>
      </c>
      <c r="B22" t="s">
        <v>65</v>
      </c>
      <c r="C22" t="s">
        <v>41</v>
      </c>
      <c r="D22">
        <v>41</v>
      </c>
      <c r="E22" t="s">
        <v>1035</v>
      </c>
      <c r="F22" t="s">
        <v>1036</v>
      </c>
      <c r="G22" t="s">
        <v>28</v>
      </c>
      <c r="H22">
        <v>9</v>
      </c>
      <c r="I22">
        <v>50</v>
      </c>
      <c r="J22" s="6">
        <v>50</v>
      </c>
      <c r="K22">
        <v>1.8</v>
      </c>
      <c r="L22" t="b">
        <v>0</v>
      </c>
      <c r="M22">
        <v>0.65</v>
      </c>
      <c r="N22" s="1">
        <v>0.65</v>
      </c>
      <c r="O22" t="s">
        <v>1020</v>
      </c>
      <c r="P22" t="s">
        <v>1038</v>
      </c>
      <c r="Q22">
        <v>15</v>
      </c>
      <c r="R22">
        <v>6</v>
      </c>
    </row>
    <row r="23" spans="1:18" x14ac:dyDescent="0.25">
      <c r="A23" t="s">
        <v>68</v>
      </c>
      <c r="B23" t="s">
        <v>67</v>
      </c>
      <c r="C23" t="s">
        <v>41</v>
      </c>
      <c r="D23">
        <v>51</v>
      </c>
      <c r="E23" t="s">
        <v>1048</v>
      </c>
      <c r="F23" t="s">
        <v>1049</v>
      </c>
      <c r="G23" t="s">
        <v>1050</v>
      </c>
      <c r="H23">
        <v>10</v>
      </c>
      <c r="J23" s="6">
        <v>70</v>
      </c>
      <c r="K23">
        <v>2.4</v>
      </c>
      <c r="L23" t="b">
        <v>0</v>
      </c>
      <c r="M23">
        <v>0.69</v>
      </c>
      <c r="N23" s="1">
        <v>0.69</v>
      </c>
      <c r="O23" t="s">
        <v>1034</v>
      </c>
      <c r="P23" t="s">
        <v>1025</v>
      </c>
      <c r="Q23">
        <v>3</v>
      </c>
      <c r="R23">
        <v>5</v>
      </c>
    </row>
    <row r="24" spans="1:18" x14ac:dyDescent="0.25">
      <c r="A24" t="s">
        <v>70</v>
      </c>
      <c r="B24" t="s">
        <v>69</v>
      </c>
      <c r="C24" t="s">
        <v>41</v>
      </c>
      <c r="D24">
        <v>51</v>
      </c>
      <c r="E24" t="s">
        <v>1053</v>
      </c>
      <c r="F24" t="s">
        <v>1054</v>
      </c>
      <c r="G24" t="s">
        <v>1046</v>
      </c>
      <c r="H24">
        <v>21</v>
      </c>
      <c r="I24" t="s">
        <v>71</v>
      </c>
      <c r="J24" s="6">
        <v>30</v>
      </c>
      <c r="K24">
        <v>4.7</v>
      </c>
      <c r="L24" t="b">
        <v>0</v>
      </c>
      <c r="N24" s="1">
        <v>0.78</v>
      </c>
      <c r="O24" t="s">
        <v>1042</v>
      </c>
      <c r="P24" t="s">
        <v>1038</v>
      </c>
      <c r="Q24">
        <v>14</v>
      </c>
      <c r="R24">
        <v>2</v>
      </c>
    </row>
    <row r="25" spans="1:18" x14ac:dyDescent="0.25">
      <c r="A25" t="s">
        <v>73</v>
      </c>
      <c r="B25" t="s">
        <v>72</v>
      </c>
      <c r="C25" t="s">
        <v>18</v>
      </c>
      <c r="D25">
        <v>51</v>
      </c>
      <c r="E25" t="s">
        <v>1047</v>
      </c>
      <c r="F25" t="s">
        <v>1055</v>
      </c>
      <c r="G25" t="s">
        <v>1031</v>
      </c>
      <c r="H25">
        <v>15</v>
      </c>
      <c r="I25" t="s">
        <v>42</v>
      </c>
      <c r="J25" s="6">
        <v>50</v>
      </c>
      <c r="K25">
        <v>1.3</v>
      </c>
      <c r="L25" t="b">
        <v>1</v>
      </c>
      <c r="M25">
        <v>1</v>
      </c>
      <c r="N25" s="1">
        <v>1</v>
      </c>
      <c r="O25" t="s">
        <v>1041</v>
      </c>
      <c r="P25" t="s">
        <v>1025</v>
      </c>
      <c r="Q25">
        <v>9</v>
      </c>
      <c r="R25">
        <v>3</v>
      </c>
    </row>
    <row r="26" spans="1:18" x14ac:dyDescent="0.25">
      <c r="A26" t="s">
        <v>75</v>
      </c>
      <c r="B26" t="s">
        <v>74</v>
      </c>
      <c r="C26" t="s">
        <v>18</v>
      </c>
      <c r="D26">
        <v>54</v>
      </c>
      <c r="E26" t="s">
        <v>1035</v>
      </c>
      <c r="F26" t="s">
        <v>1036</v>
      </c>
      <c r="G26" t="s">
        <v>1031</v>
      </c>
      <c r="H26">
        <v>13</v>
      </c>
      <c r="I26">
        <v>75</v>
      </c>
      <c r="J26" s="6">
        <v>75</v>
      </c>
      <c r="K26">
        <v>2.9</v>
      </c>
      <c r="L26" t="b">
        <v>0</v>
      </c>
      <c r="M26">
        <v>92</v>
      </c>
      <c r="N26" s="1">
        <v>0.92</v>
      </c>
      <c r="O26" t="s">
        <v>1041</v>
      </c>
      <c r="P26" t="s">
        <v>1038</v>
      </c>
      <c r="Q26">
        <v>15</v>
      </c>
      <c r="R26">
        <v>3</v>
      </c>
    </row>
    <row r="27" spans="1:18" x14ac:dyDescent="0.25">
      <c r="A27" t="s">
        <v>77</v>
      </c>
      <c r="B27" t="s">
        <v>76</v>
      </c>
      <c r="C27" t="s">
        <v>18</v>
      </c>
      <c r="D27">
        <v>22</v>
      </c>
      <c r="E27" t="s">
        <v>1047</v>
      </c>
      <c r="F27" t="s">
        <v>1055</v>
      </c>
      <c r="G27" t="s">
        <v>1050</v>
      </c>
      <c r="H27">
        <v>0</v>
      </c>
      <c r="I27" t="s">
        <v>71</v>
      </c>
      <c r="J27" s="6">
        <v>30</v>
      </c>
      <c r="K27">
        <v>1.2</v>
      </c>
      <c r="L27" t="b">
        <v>1</v>
      </c>
      <c r="M27">
        <v>0.7</v>
      </c>
      <c r="N27" s="1">
        <v>0.7</v>
      </c>
      <c r="O27" t="s">
        <v>1034</v>
      </c>
      <c r="P27" t="s">
        <v>1021</v>
      </c>
      <c r="Q27">
        <v>5</v>
      </c>
      <c r="R27">
        <v>2</v>
      </c>
    </row>
    <row r="28" spans="1:18" x14ac:dyDescent="0.25">
      <c r="A28" t="s">
        <v>79</v>
      </c>
      <c r="B28" t="s">
        <v>78</v>
      </c>
      <c r="C28" t="s">
        <v>18</v>
      </c>
      <c r="D28">
        <v>34</v>
      </c>
      <c r="E28" t="s">
        <v>1048</v>
      </c>
      <c r="F28" t="s">
        <v>1049</v>
      </c>
      <c r="G28" t="s">
        <v>1019</v>
      </c>
      <c r="H28">
        <v>8</v>
      </c>
      <c r="I28" t="s">
        <v>80</v>
      </c>
      <c r="J28" s="6">
        <v>20</v>
      </c>
      <c r="K28">
        <v>0</v>
      </c>
      <c r="L28" t="b">
        <v>1</v>
      </c>
      <c r="M28">
        <v>0.89</v>
      </c>
      <c r="N28" s="1">
        <v>0.89</v>
      </c>
      <c r="O28" t="s">
        <v>1042</v>
      </c>
      <c r="P28" t="s">
        <v>1021</v>
      </c>
      <c r="Q28">
        <v>6</v>
      </c>
      <c r="R28">
        <v>1</v>
      </c>
    </row>
    <row r="29" spans="1:18" x14ac:dyDescent="0.25">
      <c r="A29" t="s">
        <v>82</v>
      </c>
      <c r="B29" t="s">
        <v>81</v>
      </c>
      <c r="C29" t="s">
        <v>18</v>
      </c>
      <c r="D29">
        <v>36</v>
      </c>
      <c r="E29" t="s">
        <v>1056</v>
      </c>
      <c r="F29" t="s">
        <v>1057</v>
      </c>
      <c r="G29" t="s">
        <v>1027</v>
      </c>
      <c r="H29">
        <v>11</v>
      </c>
      <c r="J29" s="6">
        <v>70</v>
      </c>
      <c r="K29">
        <v>1.8</v>
      </c>
      <c r="L29" t="b">
        <v>1</v>
      </c>
      <c r="M29">
        <v>0.86</v>
      </c>
      <c r="N29" s="1">
        <v>0.86</v>
      </c>
      <c r="O29" t="s">
        <v>1034</v>
      </c>
      <c r="P29" t="s">
        <v>1021</v>
      </c>
      <c r="Q29">
        <v>12</v>
      </c>
      <c r="R29">
        <v>4</v>
      </c>
    </row>
    <row r="30" spans="1:18" x14ac:dyDescent="0.25">
      <c r="A30" t="s">
        <v>84</v>
      </c>
      <c r="B30" t="s">
        <v>83</v>
      </c>
      <c r="C30" t="s">
        <v>18</v>
      </c>
      <c r="D30">
        <v>47</v>
      </c>
      <c r="E30" t="s">
        <v>1058</v>
      </c>
      <c r="F30" t="s">
        <v>1023</v>
      </c>
      <c r="G30" t="s">
        <v>28</v>
      </c>
      <c r="H30">
        <v>22</v>
      </c>
      <c r="I30">
        <v>30</v>
      </c>
      <c r="J30" s="6">
        <v>30</v>
      </c>
      <c r="K30">
        <v>1.3</v>
      </c>
      <c r="L30" t="b">
        <v>0</v>
      </c>
      <c r="M30">
        <v>0.62</v>
      </c>
      <c r="N30" s="1">
        <v>0.62</v>
      </c>
      <c r="O30" t="s">
        <v>1034</v>
      </c>
      <c r="P30" t="s">
        <v>1021</v>
      </c>
      <c r="Q30">
        <v>14</v>
      </c>
      <c r="R30">
        <v>2</v>
      </c>
    </row>
    <row r="31" spans="1:18" x14ac:dyDescent="0.25">
      <c r="A31" t="s">
        <v>86</v>
      </c>
      <c r="B31" t="s">
        <v>85</v>
      </c>
      <c r="C31" t="s">
        <v>18</v>
      </c>
      <c r="D31">
        <v>41</v>
      </c>
      <c r="E31" t="s">
        <v>1032</v>
      </c>
      <c r="F31" t="s">
        <v>1033</v>
      </c>
      <c r="G31" t="s">
        <v>1037</v>
      </c>
      <c r="H31">
        <v>14</v>
      </c>
      <c r="I31" t="s">
        <v>32</v>
      </c>
      <c r="J31" s="6">
        <v>75</v>
      </c>
      <c r="K31">
        <v>1.2</v>
      </c>
      <c r="L31" t="b">
        <v>0</v>
      </c>
      <c r="N31" s="1">
        <v>0.78</v>
      </c>
      <c r="O31" t="s">
        <v>1042</v>
      </c>
      <c r="P31" t="s">
        <v>1021</v>
      </c>
      <c r="Q31">
        <v>6</v>
      </c>
      <c r="R31">
        <v>5</v>
      </c>
    </row>
    <row r="32" spans="1:18" x14ac:dyDescent="0.25">
      <c r="A32" t="s">
        <v>88</v>
      </c>
      <c r="B32" t="s">
        <v>87</v>
      </c>
      <c r="C32" t="s">
        <v>41</v>
      </c>
      <c r="D32">
        <v>22</v>
      </c>
      <c r="E32" t="s">
        <v>1032</v>
      </c>
      <c r="F32" t="s">
        <v>1033</v>
      </c>
      <c r="G32" t="s">
        <v>1050</v>
      </c>
      <c r="H32">
        <v>4</v>
      </c>
      <c r="J32" s="6">
        <v>70</v>
      </c>
      <c r="K32">
        <v>1</v>
      </c>
      <c r="L32" t="b">
        <v>1</v>
      </c>
      <c r="N32" s="1">
        <v>0.78</v>
      </c>
      <c r="O32" t="s">
        <v>1042</v>
      </c>
      <c r="P32" t="s">
        <v>1025</v>
      </c>
      <c r="Q32">
        <v>3</v>
      </c>
      <c r="R32">
        <v>1</v>
      </c>
    </row>
    <row r="33" spans="1:18" x14ac:dyDescent="0.25">
      <c r="A33" t="s">
        <v>90</v>
      </c>
      <c r="B33" t="s">
        <v>89</v>
      </c>
      <c r="C33" t="s">
        <v>41</v>
      </c>
      <c r="D33">
        <v>38</v>
      </c>
      <c r="E33" t="s">
        <v>1059</v>
      </c>
      <c r="F33" t="s">
        <v>1060</v>
      </c>
      <c r="G33" t="s">
        <v>1031</v>
      </c>
      <c r="H33">
        <v>19</v>
      </c>
      <c r="I33" t="s">
        <v>19</v>
      </c>
      <c r="J33" s="6">
        <v>100</v>
      </c>
      <c r="K33">
        <v>4.2</v>
      </c>
      <c r="L33" t="b">
        <v>0</v>
      </c>
      <c r="M33">
        <v>0.68</v>
      </c>
      <c r="N33" s="1">
        <v>0.68</v>
      </c>
      <c r="O33" t="s">
        <v>1020</v>
      </c>
      <c r="P33" t="s">
        <v>1025</v>
      </c>
      <c r="Q33">
        <v>10</v>
      </c>
      <c r="R33">
        <v>10</v>
      </c>
    </row>
    <row r="34" spans="1:18" x14ac:dyDescent="0.25">
      <c r="A34" t="s">
        <v>92</v>
      </c>
      <c r="B34" t="s">
        <v>91</v>
      </c>
      <c r="C34" t="s">
        <v>41</v>
      </c>
      <c r="D34">
        <v>46</v>
      </c>
      <c r="E34" t="s">
        <v>1061</v>
      </c>
      <c r="F34" t="s">
        <v>1062</v>
      </c>
      <c r="G34" t="s">
        <v>28</v>
      </c>
      <c r="H34">
        <v>9</v>
      </c>
      <c r="I34">
        <v>20</v>
      </c>
      <c r="J34" s="6">
        <v>20</v>
      </c>
      <c r="K34">
        <v>1.4</v>
      </c>
      <c r="L34" t="b">
        <v>1</v>
      </c>
      <c r="M34">
        <v>0.76</v>
      </c>
      <c r="N34" s="1">
        <v>0.76</v>
      </c>
      <c r="O34" t="s">
        <v>1042</v>
      </c>
      <c r="P34" t="s">
        <v>1025</v>
      </c>
      <c r="Q34">
        <v>13</v>
      </c>
      <c r="R34">
        <v>6</v>
      </c>
    </row>
    <row r="35" spans="1:18" x14ac:dyDescent="0.25">
      <c r="A35" t="s">
        <v>94</v>
      </c>
      <c r="B35" t="s">
        <v>93</v>
      </c>
      <c r="C35" t="s">
        <v>41</v>
      </c>
      <c r="D35">
        <v>41</v>
      </c>
      <c r="E35" t="s">
        <v>1047</v>
      </c>
      <c r="F35" t="s">
        <v>1055</v>
      </c>
      <c r="G35" t="s">
        <v>28</v>
      </c>
      <c r="H35">
        <v>9</v>
      </c>
      <c r="I35">
        <v>40</v>
      </c>
      <c r="J35" s="6">
        <v>40</v>
      </c>
      <c r="K35">
        <v>2.4</v>
      </c>
      <c r="L35" t="b">
        <v>1</v>
      </c>
      <c r="M35">
        <v>82</v>
      </c>
      <c r="N35" s="1">
        <v>0.82</v>
      </c>
      <c r="O35" t="s">
        <v>1041</v>
      </c>
      <c r="P35" t="s">
        <v>1038</v>
      </c>
      <c r="Q35">
        <v>15</v>
      </c>
      <c r="R35">
        <v>3</v>
      </c>
    </row>
    <row r="36" spans="1:18" x14ac:dyDescent="0.25">
      <c r="A36" t="s">
        <v>96</v>
      </c>
      <c r="B36" t="s">
        <v>95</v>
      </c>
      <c r="C36" t="s">
        <v>18</v>
      </c>
      <c r="D36">
        <v>54</v>
      </c>
      <c r="E36" t="s">
        <v>38</v>
      </c>
      <c r="F36" t="s">
        <v>1023</v>
      </c>
      <c r="G36" t="s">
        <v>1029</v>
      </c>
      <c r="H36">
        <v>32</v>
      </c>
      <c r="I36">
        <v>75</v>
      </c>
      <c r="J36" s="6">
        <v>75</v>
      </c>
      <c r="K36">
        <v>1</v>
      </c>
      <c r="L36" t="b">
        <v>1</v>
      </c>
      <c r="M36">
        <v>0.81</v>
      </c>
      <c r="N36" s="1">
        <v>0.81</v>
      </c>
      <c r="O36" t="s">
        <v>1034</v>
      </c>
      <c r="P36" t="s">
        <v>1038</v>
      </c>
      <c r="Q36">
        <v>18</v>
      </c>
      <c r="R36">
        <v>10</v>
      </c>
    </row>
    <row r="37" spans="1:18" x14ac:dyDescent="0.25">
      <c r="A37" t="s">
        <v>98</v>
      </c>
      <c r="B37" t="s">
        <v>97</v>
      </c>
      <c r="C37" t="s">
        <v>18</v>
      </c>
      <c r="D37">
        <v>52</v>
      </c>
      <c r="E37" t="s">
        <v>1047</v>
      </c>
      <c r="F37" t="s">
        <v>1055</v>
      </c>
      <c r="G37" t="s">
        <v>1031</v>
      </c>
      <c r="H37">
        <v>28</v>
      </c>
      <c r="I37" t="s">
        <v>80</v>
      </c>
      <c r="J37" s="6">
        <v>20</v>
      </c>
      <c r="K37">
        <v>2.4</v>
      </c>
      <c r="L37" t="b">
        <v>0</v>
      </c>
      <c r="N37" s="1">
        <v>0.78</v>
      </c>
      <c r="O37" t="s">
        <v>1034</v>
      </c>
      <c r="P37" t="s">
        <v>1038</v>
      </c>
      <c r="Q37">
        <v>18</v>
      </c>
      <c r="R37">
        <v>2</v>
      </c>
    </row>
    <row r="38" spans="1:18" x14ac:dyDescent="0.25">
      <c r="A38" t="s">
        <v>100</v>
      </c>
      <c r="B38" t="s">
        <v>99</v>
      </c>
      <c r="C38" t="s">
        <v>18</v>
      </c>
      <c r="D38">
        <v>42</v>
      </c>
      <c r="E38" t="s">
        <v>1048</v>
      </c>
      <c r="F38" t="s">
        <v>1049</v>
      </c>
      <c r="G38" t="s">
        <v>1024</v>
      </c>
      <c r="H38">
        <v>6</v>
      </c>
      <c r="I38">
        <v>40</v>
      </c>
      <c r="J38" s="6">
        <v>40</v>
      </c>
      <c r="K38">
        <v>2.4</v>
      </c>
      <c r="L38" t="b">
        <v>0</v>
      </c>
      <c r="M38">
        <v>0.63</v>
      </c>
      <c r="N38" s="1">
        <v>0.63</v>
      </c>
      <c r="O38" t="s">
        <v>1041</v>
      </c>
      <c r="P38" t="s">
        <v>1038</v>
      </c>
      <c r="Q38">
        <v>15</v>
      </c>
      <c r="R38">
        <v>6</v>
      </c>
    </row>
    <row r="39" spans="1:18" x14ac:dyDescent="0.25">
      <c r="A39" t="s">
        <v>102</v>
      </c>
      <c r="B39" t="s">
        <v>101</v>
      </c>
      <c r="C39" t="s">
        <v>18</v>
      </c>
      <c r="D39">
        <v>29</v>
      </c>
      <c r="E39" t="s">
        <v>1032</v>
      </c>
      <c r="F39" t="s">
        <v>1033</v>
      </c>
      <c r="G39" t="s">
        <v>1027</v>
      </c>
      <c r="H39">
        <v>10</v>
      </c>
      <c r="I39">
        <v>40</v>
      </c>
      <c r="J39" s="6">
        <v>40</v>
      </c>
      <c r="K39">
        <v>2.2000000000000002</v>
      </c>
      <c r="L39" t="b">
        <v>0</v>
      </c>
      <c r="M39">
        <v>0.67</v>
      </c>
      <c r="N39" s="1">
        <v>0.67</v>
      </c>
      <c r="O39" t="s">
        <v>1042</v>
      </c>
      <c r="P39" t="s">
        <v>1021</v>
      </c>
      <c r="Q39">
        <v>10</v>
      </c>
      <c r="R39">
        <v>9</v>
      </c>
    </row>
    <row r="40" spans="1:18" x14ac:dyDescent="0.25">
      <c r="A40" t="s">
        <v>104</v>
      </c>
      <c r="B40" t="s">
        <v>103</v>
      </c>
      <c r="C40" t="s">
        <v>18</v>
      </c>
      <c r="D40">
        <v>42</v>
      </c>
      <c r="E40" t="s">
        <v>1063</v>
      </c>
      <c r="F40" t="s">
        <v>1064</v>
      </c>
      <c r="G40" t="s">
        <v>1024</v>
      </c>
      <c r="H40">
        <v>23</v>
      </c>
      <c r="I40">
        <v>50</v>
      </c>
      <c r="J40" s="6">
        <v>50</v>
      </c>
      <c r="K40">
        <v>3.2</v>
      </c>
      <c r="L40" t="b">
        <v>1</v>
      </c>
      <c r="N40" s="1">
        <v>0.78</v>
      </c>
      <c r="O40" t="s">
        <v>1041</v>
      </c>
      <c r="P40" t="s">
        <v>1021</v>
      </c>
      <c r="Q40">
        <v>13</v>
      </c>
      <c r="R40">
        <v>3</v>
      </c>
    </row>
    <row r="41" spans="1:18" x14ac:dyDescent="0.25">
      <c r="A41" t="s">
        <v>106</v>
      </c>
      <c r="B41" t="s">
        <v>105</v>
      </c>
      <c r="C41" t="s">
        <v>41</v>
      </c>
      <c r="D41">
        <v>60</v>
      </c>
      <c r="E41" t="s">
        <v>1048</v>
      </c>
      <c r="F41" t="s">
        <v>1049</v>
      </c>
      <c r="G41" t="s">
        <v>1029</v>
      </c>
      <c r="H41">
        <v>13</v>
      </c>
      <c r="I41" t="s">
        <v>80</v>
      </c>
      <c r="J41" s="6">
        <v>20</v>
      </c>
      <c r="K41">
        <v>3.6</v>
      </c>
      <c r="L41" t="b">
        <v>0</v>
      </c>
      <c r="M41">
        <v>0.8</v>
      </c>
      <c r="N41" s="1">
        <v>0.8</v>
      </c>
      <c r="O41" t="s">
        <v>1041</v>
      </c>
      <c r="P41" t="s">
        <v>1021</v>
      </c>
      <c r="Q41">
        <v>9</v>
      </c>
      <c r="R41">
        <v>3</v>
      </c>
    </row>
    <row r="42" spans="1:18" x14ac:dyDescent="0.25">
      <c r="A42" t="s">
        <v>108</v>
      </c>
      <c r="B42" t="s">
        <v>107</v>
      </c>
      <c r="C42" t="s">
        <v>18</v>
      </c>
      <c r="D42">
        <v>59</v>
      </c>
      <c r="E42" t="s">
        <v>45</v>
      </c>
      <c r="F42" t="s">
        <v>1023</v>
      </c>
      <c r="G42" t="s">
        <v>28</v>
      </c>
      <c r="H42">
        <v>3</v>
      </c>
      <c r="I42" t="s">
        <v>62</v>
      </c>
      <c r="J42" s="6">
        <v>50</v>
      </c>
      <c r="K42">
        <v>0</v>
      </c>
      <c r="L42" t="b">
        <v>0</v>
      </c>
      <c r="N42" s="1">
        <v>0.78</v>
      </c>
      <c r="O42" t="s">
        <v>1020</v>
      </c>
      <c r="P42" t="s">
        <v>1028</v>
      </c>
      <c r="Q42">
        <v>3</v>
      </c>
      <c r="R42">
        <v>1</v>
      </c>
    </row>
    <row r="43" spans="1:18" x14ac:dyDescent="0.25">
      <c r="A43" t="s">
        <v>110</v>
      </c>
      <c r="B43" t="s">
        <v>109</v>
      </c>
      <c r="C43" t="s">
        <v>18</v>
      </c>
      <c r="D43">
        <v>21</v>
      </c>
      <c r="E43" t="s">
        <v>1058</v>
      </c>
      <c r="F43" t="s">
        <v>1023</v>
      </c>
      <c r="G43" t="s">
        <v>1029</v>
      </c>
      <c r="H43">
        <v>0</v>
      </c>
      <c r="I43">
        <v>30</v>
      </c>
      <c r="J43" s="6">
        <v>30</v>
      </c>
      <c r="K43">
        <v>2.7</v>
      </c>
      <c r="L43" t="b">
        <v>1</v>
      </c>
      <c r="M43">
        <v>0.84</v>
      </c>
      <c r="N43" s="1">
        <v>0.84</v>
      </c>
      <c r="O43" t="s">
        <v>1041</v>
      </c>
      <c r="P43" t="s">
        <v>1025</v>
      </c>
      <c r="Q43">
        <v>5</v>
      </c>
      <c r="R43">
        <v>1</v>
      </c>
    </row>
    <row r="44" spans="1:18" x14ac:dyDescent="0.25">
      <c r="A44" t="s">
        <v>112</v>
      </c>
      <c r="B44" t="s">
        <v>111</v>
      </c>
      <c r="C44" t="s">
        <v>18</v>
      </c>
      <c r="D44">
        <v>35</v>
      </c>
      <c r="E44" t="s">
        <v>1026</v>
      </c>
      <c r="F44" t="s">
        <v>1026</v>
      </c>
      <c r="G44" t="s">
        <v>1050</v>
      </c>
      <c r="H44">
        <v>10</v>
      </c>
      <c r="I44" t="s">
        <v>42</v>
      </c>
      <c r="J44" s="6">
        <v>50</v>
      </c>
      <c r="K44">
        <v>0</v>
      </c>
      <c r="L44" t="b">
        <v>0</v>
      </c>
      <c r="N44" s="1">
        <v>0.78</v>
      </c>
      <c r="O44" t="s">
        <v>1034</v>
      </c>
      <c r="P44" t="s">
        <v>1038</v>
      </c>
      <c r="Q44">
        <v>7</v>
      </c>
      <c r="R44">
        <v>6</v>
      </c>
    </row>
    <row r="45" spans="1:18" x14ac:dyDescent="0.25">
      <c r="A45" t="s">
        <v>114</v>
      </c>
      <c r="B45" t="s">
        <v>113</v>
      </c>
      <c r="C45" t="s">
        <v>41</v>
      </c>
      <c r="D45">
        <v>41</v>
      </c>
      <c r="E45" t="s">
        <v>45</v>
      </c>
      <c r="F45" t="s">
        <v>1023</v>
      </c>
      <c r="G45" t="s">
        <v>1037</v>
      </c>
      <c r="H45">
        <v>10</v>
      </c>
      <c r="I45">
        <v>20</v>
      </c>
      <c r="J45" s="6">
        <v>20</v>
      </c>
      <c r="K45">
        <v>2.8</v>
      </c>
      <c r="L45" t="b">
        <v>1</v>
      </c>
      <c r="M45">
        <v>0.63</v>
      </c>
      <c r="N45" s="1">
        <v>0.63</v>
      </c>
      <c r="O45" t="s">
        <v>1041</v>
      </c>
      <c r="P45" t="s">
        <v>1038</v>
      </c>
      <c r="Q45">
        <v>1</v>
      </c>
      <c r="R45">
        <v>1</v>
      </c>
    </row>
    <row r="46" spans="1:18" x14ac:dyDescent="0.25">
      <c r="A46" t="s">
        <v>116</v>
      </c>
      <c r="B46" t="s">
        <v>115</v>
      </c>
      <c r="C46" t="s">
        <v>18</v>
      </c>
      <c r="D46">
        <v>51</v>
      </c>
      <c r="E46" t="s">
        <v>1032</v>
      </c>
      <c r="F46" t="s">
        <v>1033</v>
      </c>
      <c r="G46" t="s">
        <v>1031</v>
      </c>
      <c r="H46">
        <v>23</v>
      </c>
      <c r="I46">
        <v>20</v>
      </c>
      <c r="J46" s="6">
        <v>20</v>
      </c>
      <c r="K46">
        <v>2.4</v>
      </c>
      <c r="L46" t="b">
        <v>0</v>
      </c>
      <c r="M46">
        <v>0.8</v>
      </c>
      <c r="N46" s="1">
        <v>0.8</v>
      </c>
      <c r="O46" t="s">
        <v>1034</v>
      </c>
      <c r="P46" t="s">
        <v>1021</v>
      </c>
      <c r="Q46">
        <v>17</v>
      </c>
      <c r="R46">
        <v>15</v>
      </c>
    </row>
    <row r="47" spans="1:18" x14ac:dyDescent="0.25">
      <c r="A47" t="s">
        <v>118</v>
      </c>
      <c r="B47" t="s">
        <v>117</v>
      </c>
      <c r="C47" t="s">
        <v>41</v>
      </c>
      <c r="D47">
        <v>41</v>
      </c>
      <c r="E47" t="s">
        <v>1063</v>
      </c>
      <c r="F47" t="s">
        <v>1064</v>
      </c>
      <c r="G47" t="s">
        <v>1029</v>
      </c>
      <c r="H47">
        <v>9</v>
      </c>
      <c r="I47" t="s">
        <v>119</v>
      </c>
      <c r="J47" s="6">
        <v>75</v>
      </c>
      <c r="K47">
        <v>4.9000000000000004</v>
      </c>
      <c r="L47" t="b">
        <v>1</v>
      </c>
      <c r="M47">
        <v>0.74</v>
      </c>
      <c r="N47" s="1">
        <v>0.74</v>
      </c>
      <c r="O47" t="s">
        <v>1034</v>
      </c>
      <c r="P47" t="s">
        <v>1038</v>
      </c>
      <c r="Q47">
        <v>13</v>
      </c>
      <c r="R47">
        <v>8</v>
      </c>
    </row>
    <row r="48" spans="1:18" x14ac:dyDescent="0.25">
      <c r="A48" t="s">
        <v>121</v>
      </c>
      <c r="B48" t="s">
        <v>120</v>
      </c>
      <c r="C48" t="s">
        <v>18</v>
      </c>
      <c r="D48">
        <v>47</v>
      </c>
      <c r="E48" t="s">
        <v>1061</v>
      </c>
      <c r="F48" t="s">
        <v>1062</v>
      </c>
      <c r="G48" t="s">
        <v>1050</v>
      </c>
      <c r="H48">
        <v>15</v>
      </c>
      <c r="I48" t="s">
        <v>71</v>
      </c>
      <c r="J48" s="6">
        <v>30</v>
      </c>
      <c r="K48">
        <v>4.5</v>
      </c>
      <c r="L48" t="b">
        <v>1</v>
      </c>
      <c r="M48">
        <v>0.85</v>
      </c>
      <c r="N48" s="1">
        <v>0.85</v>
      </c>
      <c r="O48" t="s">
        <v>1034</v>
      </c>
      <c r="P48" t="s">
        <v>1038</v>
      </c>
      <c r="Q48">
        <v>12</v>
      </c>
      <c r="R48">
        <v>4</v>
      </c>
    </row>
    <row r="49" spans="1:18" x14ac:dyDescent="0.25">
      <c r="A49" t="s">
        <v>123</v>
      </c>
      <c r="B49" t="s">
        <v>122</v>
      </c>
      <c r="C49" t="s">
        <v>41</v>
      </c>
      <c r="D49">
        <v>25</v>
      </c>
      <c r="E49" t="s">
        <v>1065</v>
      </c>
      <c r="F49" t="s">
        <v>1066</v>
      </c>
      <c r="G49" t="s">
        <v>1027</v>
      </c>
      <c r="H49">
        <v>4</v>
      </c>
      <c r="I49">
        <v>50</v>
      </c>
      <c r="J49" s="6">
        <v>50</v>
      </c>
      <c r="K49">
        <v>2.7</v>
      </c>
      <c r="L49" t="b">
        <v>0</v>
      </c>
      <c r="M49">
        <v>0.77</v>
      </c>
      <c r="N49" s="1">
        <v>0.77</v>
      </c>
      <c r="O49" t="s">
        <v>1042</v>
      </c>
      <c r="P49" t="s">
        <v>1025</v>
      </c>
      <c r="Q49">
        <v>4</v>
      </c>
      <c r="R49">
        <v>3</v>
      </c>
    </row>
    <row r="50" spans="1:18" x14ac:dyDescent="0.25">
      <c r="A50" t="s">
        <v>125</v>
      </c>
      <c r="B50" t="s">
        <v>124</v>
      </c>
      <c r="C50" t="s">
        <v>18</v>
      </c>
      <c r="D50">
        <v>25</v>
      </c>
      <c r="E50" t="s">
        <v>1067</v>
      </c>
      <c r="F50" t="s">
        <v>1044</v>
      </c>
      <c r="G50" t="s">
        <v>1024</v>
      </c>
      <c r="H50">
        <v>7</v>
      </c>
      <c r="I50">
        <v>20</v>
      </c>
      <c r="J50" s="6">
        <v>20</v>
      </c>
      <c r="K50">
        <v>1.9</v>
      </c>
      <c r="L50" t="b">
        <v>0</v>
      </c>
      <c r="N50" s="1">
        <v>0.78</v>
      </c>
      <c r="O50" t="s">
        <v>1020</v>
      </c>
      <c r="P50" t="s">
        <v>1021</v>
      </c>
      <c r="Q50">
        <v>12</v>
      </c>
      <c r="R50">
        <v>10</v>
      </c>
    </row>
    <row r="51" spans="1:18" x14ac:dyDescent="0.25">
      <c r="A51" t="s">
        <v>127</v>
      </c>
      <c r="B51" t="s">
        <v>126</v>
      </c>
      <c r="C51" t="s">
        <v>41</v>
      </c>
      <c r="D51">
        <v>29</v>
      </c>
      <c r="E51" t="s">
        <v>1047</v>
      </c>
      <c r="F51" t="s">
        <v>1033</v>
      </c>
      <c r="G51" t="s">
        <v>1045</v>
      </c>
      <c r="H51">
        <v>1</v>
      </c>
      <c r="I51">
        <v>20</v>
      </c>
      <c r="J51" s="6">
        <v>20</v>
      </c>
      <c r="K51">
        <v>1.4</v>
      </c>
      <c r="L51" t="b">
        <v>1</v>
      </c>
      <c r="M51">
        <v>0.63</v>
      </c>
      <c r="N51" s="1">
        <v>0.63</v>
      </c>
      <c r="O51" t="s">
        <v>1034</v>
      </c>
      <c r="P51" t="s">
        <v>1025</v>
      </c>
      <c r="Q51">
        <v>2</v>
      </c>
      <c r="R51">
        <v>1</v>
      </c>
    </row>
    <row r="52" spans="1:18" x14ac:dyDescent="0.25">
      <c r="A52" t="s">
        <v>129</v>
      </c>
      <c r="B52" t="s">
        <v>128</v>
      </c>
      <c r="C52" t="s">
        <v>18</v>
      </c>
      <c r="D52">
        <v>23</v>
      </c>
      <c r="E52" t="s">
        <v>1043</v>
      </c>
      <c r="F52" t="s">
        <v>1044</v>
      </c>
      <c r="G52" t="s">
        <v>1046</v>
      </c>
      <c r="H52">
        <v>0</v>
      </c>
      <c r="I52">
        <v>75</v>
      </c>
      <c r="J52" s="6">
        <v>75</v>
      </c>
      <c r="K52">
        <v>1.9</v>
      </c>
      <c r="L52" t="b">
        <v>1</v>
      </c>
      <c r="M52">
        <v>0.79</v>
      </c>
      <c r="N52" s="1">
        <v>0.79</v>
      </c>
      <c r="O52" t="s">
        <v>1034</v>
      </c>
      <c r="P52" t="s">
        <v>1028</v>
      </c>
      <c r="Q52">
        <v>2</v>
      </c>
      <c r="R52">
        <v>5</v>
      </c>
    </row>
    <row r="53" spans="1:18" x14ac:dyDescent="0.25">
      <c r="A53" t="s">
        <v>131</v>
      </c>
      <c r="B53" t="s">
        <v>130</v>
      </c>
      <c r="C53" t="s">
        <v>41</v>
      </c>
      <c r="D53">
        <v>31</v>
      </c>
      <c r="E53" t="s">
        <v>1059</v>
      </c>
      <c r="F53" t="s">
        <v>1060</v>
      </c>
      <c r="G53" t="s">
        <v>1037</v>
      </c>
      <c r="H53">
        <v>8</v>
      </c>
      <c r="I53">
        <v>50</v>
      </c>
      <c r="J53" s="6">
        <v>50</v>
      </c>
      <c r="K53">
        <v>3.4</v>
      </c>
      <c r="L53" t="b">
        <v>0</v>
      </c>
      <c r="N53" s="1">
        <v>0.78</v>
      </c>
      <c r="O53" t="s">
        <v>1042</v>
      </c>
      <c r="P53" t="s">
        <v>1028</v>
      </c>
      <c r="Q53">
        <v>11</v>
      </c>
      <c r="R53">
        <v>3</v>
      </c>
    </row>
    <row r="54" spans="1:18" x14ac:dyDescent="0.25">
      <c r="A54" t="s">
        <v>133</v>
      </c>
      <c r="B54" t="s">
        <v>132</v>
      </c>
      <c r="C54" t="s">
        <v>41</v>
      </c>
      <c r="D54">
        <v>51</v>
      </c>
      <c r="E54" t="s">
        <v>1026</v>
      </c>
      <c r="F54" t="s">
        <v>1026</v>
      </c>
      <c r="G54" t="s">
        <v>1031</v>
      </c>
      <c r="H54">
        <v>33</v>
      </c>
      <c r="I54">
        <v>75</v>
      </c>
      <c r="J54" s="6">
        <v>75</v>
      </c>
      <c r="K54">
        <v>3.3</v>
      </c>
      <c r="L54" t="b">
        <v>0</v>
      </c>
      <c r="M54">
        <v>0.68</v>
      </c>
      <c r="N54" s="1">
        <v>0.68</v>
      </c>
      <c r="O54" t="s">
        <v>1034</v>
      </c>
      <c r="P54" t="s">
        <v>1028</v>
      </c>
      <c r="Q54">
        <v>17</v>
      </c>
      <c r="R54">
        <v>8</v>
      </c>
    </row>
    <row r="55" spans="1:18" x14ac:dyDescent="0.25">
      <c r="A55" t="s">
        <v>135</v>
      </c>
      <c r="B55" t="s">
        <v>134</v>
      </c>
      <c r="C55" t="s">
        <v>41</v>
      </c>
      <c r="D55">
        <v>41</v>
      </c>
      <c r="E55" t="s">
        <v>1068</v>
      </c>
      <c r="F55" t="s">
        <v>1044</v>
      </c>
      <c r="G55" t="s">
        <v>1045</v>
      </c>
      <c r="H55">
        <v>1</v>
      </c>
      <c r="I55">
        <v>30</v>
      </c>
      <c r="J55" s="6">
        <v>30</v>
      </c>
      <c r="K55">
        <v>0</v>
      </c>
      <c r="L55" t="b">
        <v>0</v>
      </c>
      <c r="M55">
        <v>0.68</v>
      </c>
      <c r="N55" s="1">
        <v>0.68</v>
      </c>
      <c r="O55" t="s">
        <v>1041</v>
      </c>
      <c r="P55" t="s">
        <v>1021</v>
      </c>
      <c r="Q55">
        <v>1</v>
      </c>
      <c r="R55">
        <v>2</v>
      </c>
    </row>
    <row r="56" spans="1:18" x14ac:dyDescent="0.25">
      <c r="A56" t="s">
        <v>137</v>
      </c>
      <c r="B56" t="s">
        <v>136</v>
      </c>
      <c r="C56" t="s">
        <v>18</v>
      </c>
      <c r="D56">
        <v>29</v>
      </c>
      <c r="E56" t="s">
        <v>1039</v>
      </c>
      <c r="F56" t="s">
        <v>1040</v>
      </c>
      <c r="G56" t="s">
        <v>1046</v>
      </c>
      <c r="H56">
        <v>11</v>
      </c>
      <c r="I56">
        <v>100</v>
      </c>
      <c r="J56" s="6">
        <v>100</v>
      </c>
      <c r="K56">
        <v>2.2999999999999998</v>
      </c>
      <c r="L56" t="b">
        <v>1</v>
      </c>
      <c r="M56">
        <v>0.72</v>
      </c>
      <c r="N56" s="1">
        <v>0.72</v>
      </c>
      <c r="O56" t="s">
        <v>1041</v>
      </c>
      <c r="P56" t="s">
        <v>1038</v>
      </c>
      <c r="Q56">
        <v>7</v>
      </c>
      <c r="R56">
        <v>7</v>
      </c>
    </row>
    <row r="57" spans="1:18" x14ac:dyDescent="0.25">
      <c r="A57" t="s">
        <v>139</v>
      </c>
      <c r="B57" t="s">
        <v>138</v>
      </c>
      <c r="C57" t="s">
        <v>41</v>
      </c>
      <c r="D57">
        <v>50</v>
      </c>
      <c r="E57" t="s">
        <v>45</v>
      </c>
      <c r="F57" t="s">
        <v>1023</v>
      </c>
      <c r="G57" t="s">
        <v>28</v>
      </c>
      <c r="H57">
        <v>15</v>
      </c>
      <c r="J57" s="6">
        <v>70</v>
      </c>
      <c r="K57">
        <v>2</v>
      </c>
      <c r="L57" t="b">
        <v>1</v>
      </c>
      <c r="M57">
        <v>0.65</v>
      </c>
      <c r="N57" s="1">
        <v>0.65</v>
      </c>
      <c r="O57" t="s">
        <v>1020</v>
      </c>
      <c r="P57" t="s">
        <v>1021</v>
      </c>
      <c r="Q57">
        <v>7</v>
      </c>
      <c r="R57">
        <v>7</v>
      </c>
    </row>
    <row r="58" spans="1:18" x14ac:dyDescent="0.25">
      <c r="A58" t="s">
        <v>141</v>
      </c>
      <c r="B58" t="s">
        <v>140</v>
      </c>
      <c r="C58" t="s">
        <v>18</v>
      </c>
      <c r="D58">
        <v>26</v>
      </c>
      <c r="E58" t="s">
        <v>45</v>
      </c>
      <c r="F58" t="s">
        <v>1023</v>
      </c>
      <c r="G58" t="s">
        <v>1050</v>
      </c>
      <c r="H58">
        <v>8</v>
      </c>
      <c r="I58">
        <v>50</v>
      </c>
      <c r="J58" s="6">
        <v>50</v>
      </c>
      <c r="K58">
        <v>1.3</v>
      </c>
      <c r="L58" t="b">
        <v>0</v>
      </c>
      <c r="M58">
        <v>0.76</v>
      </c>
      <c r="N58" s="1">
        <v>0.76</v>
      </c>
      <c r="O58" t="s">
        <v>1034</v>
      </c>
      <c r="P58" t="s">
        <v>1021</v>
      </c>
      <c r="Q58">
        <v>7</v>
      </c>
      <c r="R58">
        <v>5</v>
      </c>
    </row>
    <row r="59" spans="1:18" x14ac:dyDescent="0.25">
      <c r="A59" t="s">
        <v>143</v>
      </c>
      <c r="B59" t="s">
        <v>142</v>
      </c>
      <c r="C59" t="s">
        <v>41</v>
      </c>
      <c r="D59">
        <v>38</v>
      </c>
      <c r="E59" t="s">
        <v>1058</v>
      </c>
      <c r="F59" t="s">
        <v>1023</v>
      </c>
      <c r="G59" t="s">
        <v>28</v>
      </c>
      <c r="H59">
        <v>17</v>
      </c>
      <c r="I59" t="s">
        <v>35</v>
      </c>
      <c r="J59" s="6">
        <v>40</v>
      </c>
      <c r="K59">
        <v>4</v>
      </c>
      <c r="L59" t="b">
        <v>1</v>
      </c>
      <c r="M59">
        <v>0.9</v>
      </c>
      <c r="N59" s="1">
        <v>0.9</v>
      </c>
      <c r="O59" t="s">
        <v>1042</v>
      </c>
      <c r="P59" t="s">
        <v>1038</v>
      </c>
      <c r="Q59">
        <v>16</v>
      </c>
      <c r="R59">
        <v>11</v>
      </c>
    </row>
    <row r="60" spans="1:18" x14ac:dyDescent="0.25">
      <c r="A60" t="s">
        <v>145</v>
      </c>
      <c r="B60" t="s">
        <v>144</v>
      </c>
      <c r="C60" t="s">
        <v>18</v>
      </c>
      <c r="D60">
        <v>23</v>
      </c>
      <c r="E60" t="s">
        <v>1051</v>
      </c>
      <c r="F60" t="s">
        <v>1052</v>
      </c>
      <c r="G60" t="s">
        <v>1024</v>
      </c>
      <c r="H60">
        <v>10</v>
      </c>
      <c r="I60">
        <v>75</v>
      </c>
      <c r="J60" s="6">
        <v>75</v>
      </c>
      <c r="K60">
        <v>3.6</v>
      </c>
      <c r="L60" t="b">
        <v>1</v>
      </c>
      <c r="M60">
        <v>0.65</v>
      </c>
      <c r="N60" s="1">
        <v>0.65</v>
      </c>
      <c r="O60" t="s">
        <v>1041</v>
      </c>
      <c r="P60" t="s">
        <v>1025</v>
      </c>
      <c r="Q60">
        <v>2</v>
      </c>
      <c r="R60">
        <v>4</v>
      </c>
    </row>
    <row r="61" spans="1:18" x14ac:dyDescent="0.25">
      <c r="A61" t="s">
        <v>147</v>
      </c>
      <c r="B61" t="s">
        <v>146</v>
      </c>
      <c r="C61" t="s">
        <v>18</v>
      </c>
      <c r="D61">
        <v>51</v>
      </c>
      <c r="E61" t="s">
        <v>1063</v>
      </c>
      <c r="F61" t="s">
        <v>1064</v>
      </c>
      <c r="G61" t="s">
        <v>1050</v>
      </c>
      <c r="H61">
        <v>28</v>
      </c>
      <c r="I61">
        <v>40</v>
      </c>
      <c r="J61" s="6">
        <v>40</v>
      </c>
      <c r="K61">
        <v>3.9</v>
      </c>
      <c r="L61" t="b">
        <v>0</v>
      </c>
      <c r="M61">
        <v>0.63</v>
      </c>
      <c r="N61" s="1">
        <v>0.63</v>
      </c>
      <c r="O61" t="s">
        <v>1042</v>
      </c>
      <c r="P61" t="s">
        <v>1028</v>
      </c>
      <c r="Q61">
        <v>13</v>
      </c>
      <c r="R61">
        <v>6</v>
      </c>
    </row>
    <row r="62" spans="1:18" x14ac:dyDescent="0.25">
      <c r="A62" t="s">
        <v>149</v>
      </c>
      <c r="B62" t="s">
        <v>148</v>
      </c>
      <c r="C62" t="s">
        <v>18</v>
      </c>
      <c r="D62">
        <v>51</v>
      </c>
      <c r="E62" t="s">
        <v>1035</v>
      </c>
      <c r="F62" t="s">
        <v>1036</v>
      </c>
      <c r="G62" t="s">
        <v>28</v>
      </c>
      <c r="H62">
        <v>33</v>
      </c>
      <c r="I62" t="s">
        <v>119</v>
      </c>
      <c r="J62" s="6">
        <v>75</v>
      </c>
      <c r="K62">
        <v>0</v>
      </c>
      <c r="L62" t="b">
        <v>1</v>
      </c>
      <c r="N62" s="1">
        <v>0.78</v>
      </c>
      <c r="O62" t="s">
        <v>1042</v>
      </c>
      <c r="P62" t="s">
        <v>1025</v>
      </c>
      <c r="Q62">
        <v>14</v>
      </c>
      <c r="R62">
        <v>8</v>
      </c>
    </row>
    <row r="63" spans="1:18" x14ac:dyDescent="0.25">
      <c r="A63" t="s">
        <v>151</v>
      </c>
      <c r="B63" t="s">
        <v>150</v>
      </c>
      <c r="C63" t="s">
        <v>41</v>
      </c>
      <c r="D63">
        <v>47</v>
      </c>
      <c r="E63" t="s">
        <v>1026</v>
      </c>
      <c r="F63" t="s">
        <v>1026</v>
      </c>
      <c r="G63" t="s">
        <v>28</v>
      </c>
      <c r="H63">
        <v>18</v>
      </c>
      <c r="I63">
        <v>75</v>
      </c>
      <c r="J63" s="6">
        <v>75</v>
      </c>
      <c r="K63">
        <v>0</v>
      </c>
      <c r="L63" t="b">
        <v>0</v>
      </c>
      <c r="N63" s="1">
        <v>0.78</v>
      </c>
      <c r="O63" t="s">
        <v>1041</v>
      </c>
      <c r="P63" t="s">
        <v>1028</v>
      </c>
      <c r="Q63">
        <v>11</v>
      </c>
      <c r="R63">
        <v>8</v>
      </c>
    </row>
    <row r="64" spans="1:18" x14ac:dyDescent="0.25">
      <c r="A64" t="s">
        <v>153</v>
      </c>
      <c r="B64" t="s">
        <v>152</v>
      </c>
      <c r="C64" t="s">
        <v>18</v>
      </c>
      <c r="D64">
        <v>34</v>
      </c>
      <c r="E64" t="s">
        <v>1056</v>
      </c>
      <c r="F64" t="s">
        <v>1057</v>
      </c>
      <c r="G64" t="s">
        <v>1045</v>
      </c>
      <c r="H64">
        <v>16</v>
      </c>
      <c r="I64" t="s">
        <v>80</v>
      </c>
      <c r="J64" s="6">
        <v>20</v>
      </c>
      <c r="K64">
        <v>2.2999999999999998</v>
      </c>
      <c r="L64" t="b">
        <v>1</v>
      </c>
      <c r="M64">
        <v>0.93</v>
      </c>
      <c r="N64" s="1">
        <v>0.93</v>
      </c>
      <c r="O64" t="s">
        <v>1042</v>
      </c>
      <c r="P64" t="s">
        <v>1021</v>
      </c>
      <c r="Q64">
        <v>15</v>
      </c>
      <c r="R64">
        <v>5</v>
      </c>
    </row>
    <row r="65" spans="1:18" x14ac:dyDescent="0.25">
      <c r="A65" t="s">
        <v>155</v>
      </c>
      <c r="B65" t="s">
        <v>154</v>
      </c>
      <c r="C65" t="s">
        <v>18</v>
      </c>
      <c r="D65">
        <v>58</v>
      </c>
      <c r="E65" t="s">
        <v>1035</v>
      </c>
      <c r="F65" t="s">
        <v>1036</v>
      </c>
      <c r="G65" t="s">
        <v>1037</v>
      </c>
      <c r="H65">
        <v>35</v>
      </c>
      <c r="I65" t="s">
        <v>62</v>
      </c>
      <c r="J65" s="6">
        <v>50</v>
      </c>
      <c r="K65">
        <v>4.7</v>
      </c>
      <c r="L65" t="b">
        <v>0</v>
      </c>
      <c r="M65">
        <v>0.7</v>
      </c>
      <c r="N65" s="1">
        <v>0.7</v>
      </c>
      <c r="O65" t="s">
        <v>1041</v>
      </c>
      <c r="P65" t="s">
        <v>1028</v>
      </c>
      <c r="Q65">
        <v>17</v>
      </c>
      <c r="R65">
        <v>13</v>
      </c>
    </row>
    <row r="66" spans="1:18" x14ac:dyDescent="0.25">
      <c r="A66" t="s">
        <v>157</v>
      </c>
      <c r="B66" t="s">
        <v>156</v>
      </c>
      <c r="C66" t="s">
        <v>18</v>
      </c>
      <c r="D66">
        <v>50</v>
      </c>
      <c r="E66" t="s">
        <v>1056</v>
      </c>
      <c r="F66" t="s">
        <v>1057</v>
      </c>
      <c r="G66" t="s">
        <v>28</v>
      </c>
      <c r="H66">
        <v>14</v>
      </c>
      <c r="J66" s="6">
        <v>70</v>
      </c>
      <c r="K66">
        <v>3.5</v>
      </c>
      <c r="L66" t="b">
        <v>1</v>
      </c>
      <c r="M66">
        <v>0.83</v>
      </c>
      <c r="N66" s="1">
        <v>0.83</v>
      </c>
      <c r="O66" t="s">
        <v>1042</v>
      </c>
      <c r="P66" t="s">
        <v>1021</v>
      </c>
      <c r="Q66">
        <v>13</v>
      </c>
      <c r="R66">
        <v>8</v>
      </c>
    </row>
    <row r="67" spans="1:18" x14ac:dyDescent="0.25">
      <c r="A67" t="s">
        <v>159</v>
      </c>
      <c r="B67" t="s">
        <v>158</v>
      </c>
      <c r="C67" t="s">
        <v>18</v>
      </c>
      <c r="D67">
        <v>34</v>
      </c>
      <c r="E67" t="s">
        <v>1068</v>
      </c>
      <c r="F67" t="s">
        <v>1044</v>
      </c>
      <c r="G67" t="s">
        <v>1029</v>
      </c>
      <c r="H67">
        <v>12</v>
      </c>
      <c r="I67">
        <v>40</v>
      </c>
      <c r="J67" s="6">
        <v>40</v>
      </c>
      <c r="K67">
        <v>2.4</v>
      </c>
      <c r="L67" t="b">
        <v>1</v>
      </c>
      <c r="M67">
        <v>64</v>
      </c>
      <c r="N67" s="1">
        <v>0.64</v>
      </c>
      <c r="O67" t="s">
        <v>1041</v>
      </c>
      <c r="P67" t="s">
        <v>1025</v>
      </c>
      <c r="Q67">
        <v>14</v>
      </c>
      <c r="R67">
        <v>12</v>
      </c>
    </row>
    <row r="68" spans="1:18" x14ac:dyDescent="0.25">
      <c r="A68" t="s">
        <v>161</v>
      </c>
      <c r="B68" t="s">
        <v>160</v>
      </c>
      <c r="C68" t="s">
        <v>18</v>
      </c>
      <c r="D68">
        <v>45</v>
      </c>
      <c r="E68" t="s">
        <v>1053</v>
      </c>
      <c r="F68" t="s">
        <v>1054</v>
      </c>
      <c r="G68" t="s">
        <v>28</v>
      </c>
      <c r="H68">
        <v>11</v>
      </c>
      <c r="I68" t="s">
        <v>32</v>
      </c>
      <c r="J68" s="6">
        <v>75</v>
      </c>
      <c r="K68">
        <v>4</v>
      </c>
      <c r="L68" t="b">
        <v>0</v>
      </c>
      <c r="M68">
        <v>1</v>
      </c>
      <c r="N68" s="1">
        <v>1</v>
      </c>
      <c r="O68" t="s">
        <v>1034</v>
      </c>
      <c r="P68" t="s">
        <v>1021</v>
      </c>
      <c r="Q68">
        <v>9</v>
      </c>
      <c r="R68">
        <v>2</v>
      </c>
    </row>
    <row r="69" spans="1:18" x14ac:dyDescent="0.25">
      <c r="A69" t="s">
        <v>163</v>
      </c>
      <c r="B69" t="s">
        <v>162</v>
      </c>
      <c r="C69" t="s">
        <v>18</v>
      </c>
      <c r="D69">
        <v>55</v>
      </c>
      <c r="E69" t="s">
        <v>1053</v>
      </c>
      <c r="F69" t="s">
        <v>1054</v>
      </c>
      <c r="G69" t="s">
        <v>1029</v>
      </c>
      <c r="H69">
        <v>0</v>
      </c>
      <c r="I69" t="s">
        <v>24</v>
      </c>
      <c r="J69" s="6">
        <v>40</v>
      </c>
      <c r="K69">
        <v>0</v>
      </c>
      <c r="L69" t="b">
        <v>1</v>
      </c>
      <c r="N69" s="1">
        <v>0.78</v>
      </c>
      <c r="O69" t="s">
        <v>1020</v>
      </c>
      <c r="P69" t="s">
        <v>1025</v>
      </c>
      <c r="Q69">
        <v>5</v>
      </c>
      <c r="R69">
        <v>5</v>
      </c>
    </row>
    <row r="70" spans="1:18" x14ac:dyDescent="0.25">
      <c r="A70" t="s">
        <v>165</v>
      </c>
      <c r="B70" t="s">
        <v>164</v>
      </c>
      <c r="C70" t="s">
        <v>41</v>
      </c>
      <c r="D70">
        <v>41</v>
      </c>
      <c r="E70" t="s">
        <v>1043</v>
      </c>
      <c r="F70" t="s">
        <v>1044</v>
      </c>
      <c r="G70" t="s">
        <v>1045</v>
      </c>
      <c r="H70">
        <v>6</v>
      </c>
      <c r="I70">
        <v>100</v>
      </c>
      <c r="J70" s="6">
        <v>100</v>
      </c>
      <c r="K70">
        <v>1.5</v>
      </c>
      <c r="L70" t="b">
        <v>0</v>
      </c>
      <c r="N70" s="1">
        <v>0.78</v>
      </c>
      <c r="O70" t="s">
        <v>1041</v>
      </c>
      <c r="P70" t="s">
        <v>1038</v>
      </c>
      <c r="Q70">
        <v>8</v>
      </c>
      <c r="R70">
        <v>2</v>
      </c>
    </row>
    <row r="71" spans="1:18" x14ac:dyDescent="0.25">
      <c r="A71" t="s">
        <v>167</v>
      </c>
      <c r="B71" t="s">
        <v>166</v>
      </c>
      <c r="C71" t="s">
        <v>18</v>
      </c>
      <c r="D71">
        <v>60</v>
      </c>
      <c r="E71" t="s">
        <v>1065</v>
      </c>
      <c r="F71" t="s">
        <v>1066</v>
      </c>
      <c r="G71" t="s">
        <v>1045</v>
      </c>
      <c r="H71">
        <v>38</v>
      </c>
      <c r="I71" t="s">
        <v>80</v>
      </c>
      <c r="J71" s="6">
        <v>20</v>
      </c>
      <c r="K71">
        <v>2</v>
      </c>
      <c r="L71" t="b">
        <v>0</v>
      </c>
      <c r="M71">
        <v>0.71</v>
      </c>
      <c r="N71" s="1">
        <v>0.71</v>
      </c>
      <c r="O71" t="s">
        <v>1041</v>
      </c>
      <c r="P71" t="s">
        <v>1038</v>
      </c>
      <c r="Q71">
        <v>19</v>
      </c>
      <c r="R71">
        <v>7</v>
      </c>
    </row>
    <row r="72" spans="1:18" x14ac:dyDescent="0.25">
      <c r="A72" t="s">
        <v>169</v>
      </c>
      <c r="B72" t="s">
        <v>168</v>
      </c>
      <c r="C72" t="s">
        <v>18</v>
      </c>
      <c r="D72">
        <v>33</v>
      </c>
      <c r="E72" t="s">
        <v>1063</v>
      </c>
      <c r="F72" t="s">
        <v>1064</v>
      </c>
      <c r="G72" t="s">
        <v>1024</v>
      </c>
      <c r="H72">
        <v>11</v>
      </c>
      <c r="J72" s="6">
        <v>70</v>
      </c>
      <c r="K72">
        <v>2.4</v>
      </c>
      <c r="L72" t="b">
        <v>1</v>
      </c>
      <c r="M72">
        <v>0.84</v>
      </c>
      <c r="N72" s="1">
        <v>0.84</v>
      </c>
      <c r="O72" t="s">
        <v>1020</v>
      </c>
      <c r="P72" t="s">
        <v>1038</v>
      </c>
      <c r="Q72">
        <v>6</v>
      </c>
      <c r="R72">
        <v>3</v>
      </c>
    </row>
    <row r="73" spans="1:18" x14ac:dyDescent="0.25">
      <c r="A73" t="s">
        <v>171</v>
      </c>
      <c r="B73" t="s">
        <v>170</v>
      </c>
      <c r="C73" t="s">
        <v>41</v>
      </c>
      <c r="D73">
        <v>60</v>
      </c>
      <c r="E73" t="s">
        <v>1017</v>
      </c>
      <c r="F73" t="s">
        <v>1018</v>
      </c>
      <c r="G73" t="s">
        <v>1050</v>
      </c>
      <c r="H73">
        <v>13</v>
      </c>
      <c r="I73" t="s">
        <v>62</v>
      </c>
      <c r="J73" s="6">
        <v>50</v>
      </c>
      <c r="K73">
        <v>1</v>
      </c>
      <c r="L73" t="b">
        <v>0</v>
      </c>
      <c r="N73" s="1">
        <v>0.78</v>
      </c>
      <c r="O73" t="s">
        <v>1041</v>
      </c>
      <c r="P73" t="s">
        <v>1021</v>
      </c>
      <c r="Q73">
        <v>15</v>
      </c>
      <c r="R73">
        <v>1</v>
      </c>
    </row>
    <row r="74" spans="1:18" x14ac:dyDescent="0.25">
      <c r="A74" t="s">
        <v>173</v>
      </c>
      <c r="B74" t="s">
        <v>172</v>
      </c>
      <c r="C74" t="s">
        <v>41</v>
      </c>
      <c r="D74">
        <v>40</v>
      </c>
      <c r="E74" t="s">
        <v>38</v>
      </c>
      <c r="F74" t="s">
        <v>1023</v>
      </c>
      <c r="G74" t="s">
        <v>1029</v>
      </c>
      <c r="H74">
        <v>9</v>
      </c>
      <c r="I74" t="s">
        <v>174</v>
      </c>
      <c r="J74" s="6">
        <v>100</v>
      </c>
      <c r="K74">
        <v>4.5</v>
      </c>
      <c r="L74" t="b">
        <v>1</v>
      </c>
      <c r="M74">
        <v>0.69</v>
      </c>
      <c r="N74" s="1">
        <v>0.69</v>
      </c>
      <c r="O74" t="s">
        <v>1041</v>
      </c>
      <c r="P74" t="s">
        <v>1038</v>
      </c>
      <c r="Q74">
        <v>11</v>
      </c>
      <c r="R74">
        <v>10</v>
      </c>
    </row>
    <row r="75" spans="1:18" x14ac:dyDescent="0.25">
      <c r="A75" t="s">
        <v>176</v>
      </c>
      <c r="B75" t="s">
        <v>175</v>
      </c>
      <c r="C75" t="s">
        <v>41</v>
      </c>
      <c r="D75">
        <v>59</v>
      </c>
      <c r="E75" t="s">
        <v>1022</v>
      </c>
      <c r="F75" t="s">
        <v>1023</v>
      </c>
      <c r="G75" t="s">
        <v>1019</v>
      </c>
      <c r="H75">
        <v>4</v>
      </c>
      <c r="J75" s="6">
        <v>70</v>
      </c>
      <c r="K75">
        <v>1.9</v>
      </c>
      <c r="L75" t="b">
        <v>0</v>
      </c>
      <c r="M75">
        <v>88</v>
      </c>
      <c r="N75" s="1">
        <v>0.88</v>
      </c>
      <c r="O75" t="s">
        <v>1042</v>
      </c>
      <c r="P75" t="s">
        <v>1028</v>
      </c>
      <c r="Q75">
        <v>5</v>
      </c>
      <c r="R75">
        <v>1</v>
      </c>
    </row>
    <row r="76" spans="1:18" x14ac:dyDescent="0.25">
      <c r="A76" t="s">
        <v>178</v>
      </c>
      <c r="B76" t="s">
        <v>177</v>
      </c>
      <c r="C76" t="s">
        <v>41</v>
      </c>
      <c r="D76">
        <v>36</v>
      </c>
      <c r="E76" t="s">
        <v>1047</v>
      </c>
      <c r="F76" t="s">
        <v>1018</v>
      </c>
      <c r="G76" t="s">
        <v>1031</v>
      </c>
      <c r="H76">
        <v>14</v>
      </c>
      <c r="I76" t="s">
        <v>174</v>
      </c>
      <c r="J76" s="6">
        <v>100</v>
      </c>
      <c r="K76">
        <v>3.7</v>
      </c>
      <c r="L76" t="b">
        <v>0</v>
      </c>
      <c r="N76" s="1">
        <v>0.78</v>
      </c>
      <c r="O76" t="s">
        <v>1020</v>
      </c>
      <c r="P76" t="s">
        <v>1025</v>
      </c>
      <c r="Q76">
        <v>9</v>
      </c>
      <c r="R76">
        <v>5</v>
      </c>
    </row>
    <row r="77" spans="1:18" x14ac:dyDescent="0.25">
      <c r="A77" t="s">
        <v>180</v>
      </c>
      <c r="B77" t="s">
        <v>179</v>
      </c>
      <c r="C77" t="s">
        <v>41</v>
      </c>
      <c r="D77">
        <v>32</v>
      </c>
      <c r="E77" t="s">
        <v>1051</v>
      </c>
      <c r="F77" t="s">
        <v>1052</v>
      </c>
      <c r="G77" t="s">
        <v>1037</v>
      </c>
      <c r="H77">
        <v>10</v>
      </c>
      <c r="I77">
        <v>30</v>
      </c>
      <c r="J77" s="6">
        <v>30</v>
      </c>
      <c r="K77">
        <v>1.9</v>
      </c>
      <c r="L77" t="b">
        <v>1</v>
      </c>
      <c r="M77">
        <v>0.96</v>
      </c>
      <c r="N77" s="1">
        <v>0.96</v>
      </c>
      <c r="O77" t="s">
        <v>1034</v>
      </c>
      <c r="P77" t="s">
        <v>1025</v>
      </c>
      <c r="Q77">
        <v>2</v>
      </c>
      <c r="R77">
        <v>2</v>
      </c>
    </row>
    <row r="78" spans="1:18" x14ac:dyDescent="0.25">
      <c r="A78" t="s">
        <v>182</v>
      </c>
      <c r="B78" t="s">
        <v>181</v>
      </c>
      <c r="C78" t="s">
        <v>41</v>
      </c>
      <c r="D78">
        <v>59</v>
      </c>
      <c r="E78" t="s">
        <v>1022</v>
      </c>
      <c r="F78" t="s">
        <v>1023</v>
      </c>
      <c r="G78" t="s">
        <v>28</v>
      </c>
      <c r="H78">
        <v>9</v>
      </c>
      <c r="I78" t="s">
        <v>32</v>
      </c>
      <c r="J78" s="6">
        <v>75</v>
      </c>
      <c r="K78">
        <v>4</v>
      </c>
      <c r="L78" t="b">
        <v>1</v>
      </c>
      <c r="M78">
        <v>96</v>
      </c>
      <c r="N78" s="1">
        <v>0.96</v>
      </c>
      <c r="O78" t="s">
        <v>1041</v>
      </c>
      <c r="P78" t="s">
        <v>1028</v>
      </c>
      <c r="Q78">
        <v>14</v>
      </c>
      <c r="R78">
        <v>5</v>
      </c>
    </row>
    <row r="79" spans="1:18" x14ac:dyDescent="0.25">
      <c r="A79" t="s">
        <v>184</v>
      </c>
      <c r="B79" t="s">
        <v>183</v>
      </c>
      <c r="C79" t="s">
        <v>18</v>
      </c>
      <c r="D79">
        <v>54</v>
      </c>
      <c r="E79" t="s">
        <v>1068</v>
      </c>
      <c r="F79" t="s">
        <v>1044</v>
      </c>
      <c r="G79" t="s">
        <v>1050</v>
      </c>
      <c r="H79">
        <v>32</v>
      </c>
      <c r="I79" t="s">
        <v>35</v>
      </c>
      <c r="J79" s="6">
        <v>40</v>
      </c>
      <c r="K79">
        <v>1.8</v>
      </c>
      <c r="L79" t="b">
        <v>0</v>
      </c>
      <c r="N79" s="1">
        <v>0.78</v>
      </c>
      <c r="O79" t="s">
        <v>1020</v>
      </c>
      <c r="P79" t="s">
        <v>1021</v>
      </c>
      <c r="Q79">
        <v>10</v>
      </c>
      <c r="R79">
        <v>7</v>
      </c>
    </row>
    <row r="80" spans="1:18" x14ac:dyDescent="0.25">
      <c r="A80" t="s">
        <v>186</v>
      </c>
      <c r="B80" t="s">
        <v>185</v>
      </c>
      <c r="C80" t="s">
        <v>18</v>
      </c>
      <c r="D80">
        <v>37</v>
      </c>
      <c r="E80" t="s">
        <v>1058</v>
      </c>
      <c r="F80" t="s">
        <v>1023</v>
      </c>
      <c r="G80" t="s">
        <v>1027</v>
      </c>
      <c r="H80">
        <v>9</v>
      </c>
      <c r="J80" s="6">
        <v>70</v>
      </c>
      <c r="K80">
        <v>0</v>
      </c>
      <c r="L80" t="b">
        <v>1</v>
      </c>
      <c r="M80">
        <v>0.89</v>
      </c>
      <c r="N80" s="1">
        <v>0.89</v>
      </c>
      <c r="O80" t="s">
        <v>1042</v>
      </c>
      <c r="P80" t="s">
        <v>1021</v>
      </c>
      <c r="Q80">
        <v>14</v>
      </c>
      <c r="R80">
        <v>6</v>
      </c>
    </row>
    <row r="81" spans="1:18" x14ac:dyDescent="0.25">
      <c r="A81" t="s">
        <v>188</v>
      </c>
      <c r="B81" t="s">
        <v>187</v>
      </c>
      <c r="C81" t="s">
        <v>41</v>
      </c>
      <c r="D81">
        <v>54</v>
      </c>
      <c r="E81" t="s">
        <v>1051</v>
      </c>
      <c r="F81" t="s">
        <v>1052</v>
      </c>
      <c r="G81" t="s">
        <v>1031</v>
      </c>
      <c r="H81">
        <v>21</v>
      </c>
      <c r="I81" t="s">
        <v>174</v>
      </c>
      <c r="J81" s="6">
        <v>100</v>
      </c>
      <c r="K81">
        <v>4.5999999999999996</v>
      </c>
      <c r="L81" t="b">
        <v>0</v>
      </c>
      <c r="N81" s="1">
        <v>0.78</v>
      </c>
      <c r="O81" t="s">
        <v>1034</v>
      </c>
      <c r="P81" t="s">
        <v>1025</v>
      </c>
      <c r="Q81">
        <v>20</v>
      </c>
      <c r="R81">
        <v>3</v>
      </c>
    </row>
    <row r="82" spans="1:18" x14ac:dyDescent="0.25">
      <c r="A82" t="s">
        <v>190</v>
      </c>
      <c r="B82" t="s">
        <v>189</v>
      </c>
      <c r="C82" t="s">
        <v>18</v>
      </c>
      <c r="D82">
        <v>33</v>
      </c>
      <c r="E82" t="s">
        <v>1043</v>
      </c>
      <c r="F82" t="s">
        <v>1044</v>
      </c>
      <c r="G82" t="s">
        <v>1045</v>
      </c>
      <c r="H82">
        <v>12</v>
      </c>
      <c r="I82">
        <v>100</v>
      </c>
      <c r="J82" s="6">
        <v>100</v>
      </c>
      <c r="K82">
        <v>3.6</v>
      </c>
      <c r="L82" t="b">
        <v>0</v>
      </c>
      <c r="M82">
        <v>0.63</v>
      </c>
      <c r="N82" s="1">
        <v>0.63</v>
      </c>
      <c r="O82" t="s">
        <v>1020</v>
      </c>
      <c r="P82" t="s">
        <v>1038</v>
      </c>
      <c r="Q82">
        <v>10</v>
      </c>
      <c r="R82">
        <v>2</v>
      </c>
    </row>
    <row r="83" spans="1:18" x14ac:dyDescent="0.25">
      <c r="A83" t="s">
        <v>192</v>
      </c>
      <c r="B83" t="s">
        <v>191</v>
      </c>
      <c r="C83" t="s">
        <v>18</v>
      </c>
      <c r="D83">
        <v>25</v>
      </c>
      <c r="E83" t="s">
        <v>1061</v>
      </c>
      <c r="F83" t="s">
        <v>1062</v>
      </c>
      <c r="G83" t="s">
        <v>1029</v>
      </c>
      <c r="H83">
        <v>7</v>
      </c>
      <c r="I83" t="s">
        <v>35</v>
      </c>
      <c r="J83" s="6">
        <v>40</v>
      </c>
      <c r="K83">
        <v>4.4000000000000004</v>
      </c>
      <c r="L83" t="b">
        <v>0</v>
      </c>
      <c r="M83">
        <v>81</v>
      </c>
      <c r="N83" s="1">
        <v>0.81</v>
      </c>
      <c r="O83" t="s">
        <v>1034</v>
      </c>
      <c r="P83" t="s">
        <v>1021</v>
      </c>
      <c r="Q83">
        <v>11</v>
      </c>
      <c r="R83">
        <v>8</v>
      </c>
    </row>
    <row r="84" spans="1:18" x14ac:dyDescent="0.25">
      <c r="A84" t="s">
        <v>194</v>
      </c>
      <c r="B84" t="s">
        <v>193</v>
      </c>
      <c r="C84" t="s">
        <v>41</v>
      </c>
      <c r="D84">
        <v>41</v>
      </c>
      <c r="E84" t="s">
        <v>1065</v>
      </c>
      <c r="F84" t="s">
        <v>1066</v>
      </c>
      <c r="G84" t="s">
        <v>1050</v>
      </c>
      <c r="H84">
        <v>3</v>
      </c>
      <c r="I84">
        <v>40</v>
      </c>
      <c r="J84" s="6">
        <v>40</v>
      </c>
      <c r="K84">
        <v>4.5999999999999996</v>
      </c>
      <c r="L84" t="b">
        <v>0</v>
      </c>
      <c r="M84">
        <v>0.74</v>
      </c>
      <c r="N84" s="1">
        <v>0.74</v>
      </c>
      <c r="O84" t="s">
        <v>1034</v>
      </c>
      <c r="P84" t="s">
        <v>1021</v>
      </c>
      <c r="Q84">
        <v>1</v>
      </c>
      <c r="R84">
        <v>1</v>
      </c>
    </row>
    <row r="85" spans="1:18" x14ac:dyDescent="0.25">
      <c r="A85" t="s">
        <v>196</v>
      </c>
      <c r="B85" t="s">
        <v>195</v>
      </c>
      <c r="C85" t="s">
        <v>41</v>
      </c>
      <c r="D85">
        <v>35</v>
      </c>
      <c r="E85" t="s">
        <v>1047</v>
      </c>
      <c r="F85" t="s">
        <v>1055</v>
      </c>
      <c r="G85" t="s">
        <v>1029</v>
      </c>
      <c r="H85">
        <v>5</v>
      </c>
      <c r="I85" t="s">
        <v>119</v>
      </c>
      <c r="J85" s="6">
        <v>75</v>
      </c>
      <c r="K85">
        <v>3.2</v>
      </c>
      <c r="L85" t="b">
        <v>0</v>
      </c>
      <c r="M85">
        <v>0.72</v>
      </c>
      <c r="N85" s="1">
        <v>0.72</v>
      </c>
      <c r="O85" t="s">
        <v>1034</v>
      </c>
      <c r="P85" t="s">
        <v>1028</v>
      </c>
      <c r="Q85">
        <v>2</v>
      </c>
      <c r="R85">
        <v>1</v>
      </c>
    </row>
    <row r="86" spans="1:18" x14ac:dyDescent="0.25">
      <c r="A86" t="s">
        <v>198</v>
      </c>
      <c r="B86" t="s">
        <v>197</v>
      </c>
      <c r="C86" t="s">
        <v>41</v>
      </c>
      <c r="D86">
        <v>59</v>
      </c>
      <c r="E86" t="s">
        <v>1047</v>
      </c>
      <c r="F86" t="s">
        <v>1055</v>
      </c>
      <c r="G86" t="s">
        <v>28</v>
      </c>
      <c r="H86">
        <v>30</v>
      </c>
      <c r="I86" t="s">
        <v>24</v>
      </c>
      <c r="J86" s="6">
        <v>40</v>
      </c>
      <c r="K86">
        <v>0</v>
      </c>
      <c r="L86" t="b">
        <v>1</v>
      </c>
      <c r="N86" s="1">
        <v>0.78</v>
      </c>
      <c r="O86" t="s">
        <v>1041</v>
      </c>
      <c r="P86" t="s">
        <v>1028</v>
      </c>
      <c r="Q86">
        <v>13</v>
      </c>
      <c r="R86">
        <v>13</v>
      </c>
    </row>
    <row r="87" spans="1:18" x14ac:dyDescent="0.25">
      <c r="A87" t="s">
        <v>200</v>
      </c>
      <c r="B87" t="s">
        <v>199</v>
      </c>
      <c r="C87" t="s">
        <v>18</v>
      </c>
      <c r="D87">
        <v>21</v>
      </c>
      <c r="E87" t="s">
        <v>1065</v>
      </c>
      <c r="F87" t="s">
        <v>1066</v>
      </c>
      <c r="G87" t="s">
        <v>1050</v>
      </c>
      <c r="H87">
        <v>2</v>
      </c>
      <c r="I87">
        <v>100</v>
      </c>
      <c r="J87" s="6">
        <v>100</v>
      </c>
      <c r="K87">
        <v>2.6</v>
      </c>
      <c r="L87" t="b">
        <v>1</v>
      </c>
      <c r="M87">
        <v>0.85</v>
      </c>
      <c r="N87" s="1">
        <v>0.85</v>
      </c>
      <c r="O87" t="s">
        <v>1041</v>
      </c>
      <c r="P87" t="s">
        <v>1038</v>
      </c>
      <c r="Q87">
        <v>5</v>
      </c>
      <c r="R87">
        <v>3</v>
      </c>
    </row>
    <row r="88" spans="1:18" x14ac:dyDescent="0.25">
      <c r="A88" t="s">
        <v>202</v>
      </c>
      <c r="B88" t="s">
        <v>201</v>
      </c>
      <c r="C88" t="s">
        <v>41</v>
      </c>
      <c r="D88">
        <v>25</v>
      </c>
      <c r="E88" t="s">
        <v>38</v>
      </c>
      <c r="F88" t="s">
        <v>1023</v>
      </c>
      <c r="G88" t="s">
        <v>1024</v>
      </c>
      <c r="H88">
        <v>2</v>
      </c>
      <c r="I88" t="s">
        <v>119</v>
      </c>
      <c r="J88" s="6">
        <v>75</v>
      </c>
      <c r="K88">
        <v>3.7</v>
      </c>
      <c r="L88" t="b">
        <v>0</v>
      </c>
      <c r="N88" s="1">
        <v>0.78</v>
      </c>
      <c r="O88" t="s">
        <v>1042</v>
      </c>
      <c r="P88" t="s">
        <v>1021</v>
      </c>
      <c r="Q88">
        <v>1</v>
      </c>
      <c r="R88">
        <v>1</v>
      </c>
    </row>
    <row r="89" spans="1:18" x14ac:dyDescent="0.25">
      <c r="A89" t="s">
        <v>204</v>
      </c>
      <c r="B89" t="s">
        <v>203</v>
      </c>
      <c r="C89" t="s">
        <v>18</v>
      </c>
      <c r="D89">
        <v>38</v>
      </c>
      <c r="E89" t="s">
        <v>1067</v>
      </c>
      <c r="F89" t="s">
        <v>1044</v>
      </c>
      <c r="G89" t="s">
        <v>1029</v>
      </c>
      <c r="H89">
        <v>19</v>
      </c>
      <c r="I89">
        <v>75</v>
      </c>
      <c r="J89" s="6">
        <v>75</v>
      </c>
      <c r="K89">
        <v>2.2999999999999998</v>
      </c>
      <c r="L89" t="b">
        <v>0</v>
      </c>
      <c r="M89">
        <v>0.61</v>
      </c>
      <c r="N89" s="1">
        <v>0.61</v>
      </c>
      <c r="O89" t="s">
        <v>1042</v>
      </c>
      <c r="P89" t="s">
        <v>1021</v>
      </c>
      <c r="Q89">
        <v>20</v>
      </c>
      <c r="R89">
        <v>9</v>
      </c>
    </row>
    <row r="90" spans="1:18" x14ac:dyDescent="0.25">
      <c r="A90" t="s">
        <v>206</v>
      </c>
      <c r="B90" t="s">
        <v>205</v>
      </c>
      <c r="C90" t="s">
        <v>41</v>
      </c>
      <c r="D90">
        <v>57</v>
      </c>
      <c r="E90" t="s">
        <v>1056</v>
      </c>
      <c r="F90" t="s">
        <v>1057</v>
      </c>
      <c r="G90" t="s">
        <v>28</v>
      </c>
      <c r="H90">
        <v>16</v>
      </c>
      <c r="I90">
        <v>100</v>
      </c>
      <c r="J90" s="6">
        <v>100</v>
      </c>
      <c r="K90">
        <v>3.1</v>
      </c>
      <c r="L90" t="b">
        <v>0</v>
      </c>
      <c r="N90" s="1">
        <v>0.78</v>
      </c>
      <c r="O90" t="s">
        <v>1020</v>
      </c>
      <c r="P90" t="s">
        <v>1028</v>
      </c>
      <c r="Q90">
        <v>18</v>
      </c>
      <c r="R90">
        <v>4</v>
      </c>
    </row>
    <row r="91" spans="1:18" x14ac:dyDescent="0.25">
      <c r="A91" t="s">
        <v>208</v>
      </c>
      <c r="B91" t="s">
        <v>207</v>
      </c>
      <c r="C91" t="s">
        <v>41</v>
      </c>
      <c r="D91">
        <v>32</v>
      </c>
      <c r="E91" t="s">
        <v>1051</v>
      </c>
      <c r="F91" t="s">
        <v>1052</v>
      </c>
      <c r="G91" t="s">
        <v>1024</v>
      </c>
      <c r="H91">
        <v>10</v>
      </c>
      <c r="I91" t="s">
        <v>80</v>
      </c>
      <c r="J91" s="6">
        <v>20</v>
      </c>
      <c r="K91">
        <v>2.4</v>
      </c>
      <c r="L91" t="b">
        <v>0</v>
      </c>
      <c r="M91">
        <v>0.86</v>
      </c>
      <c r="N91" s="1">
        <v>0.86</v>
      </c>
      <c r="O91" t="s">
        <v>1042</v>
      </c>
      <c r="P91" t="s">
        <v>1021</v>
      </c>
      <c r="Q91">
        <v>9</v>
      </c>
      <c r="R91">
        <v>3</v>
      </c>
    </row>
    <row r="92" spans="1:18" x14ac:dyDescent="0.25">
      <c r="A92" t="s">
        <v>210</v>
      </c>
      <c r="B92" t="s">
        <v>209</v>
      </c>
      <c r="C92" t="s">
        <v>41</v>
      </c>
      <c r="D92">
        <v>21</v>
      </c>
      <c r="E92" t="s">
        <v>1017</v>
      </c>
      <c r="F92" t="s">
        <v>1018</v>
      </c>
      <c r="G92" t="s">
        <v>1050</v>
      </c>
      <c r="H92">
        <v>2</v>
      </c>
      <c r="I92" t="s">
        <v>19</v>
      </c>
      <c r="J92" s="6">
        <v>100</v>
      </c>
      <c r="K92">
        <v>1.6</v>
      </c>
      <c r="L92" t="b">
        <v>1</v>
      </c>
      <c r="M92">
        <v>0.97</v>
      </c>
      <c r="N92" s="1">
        <v>0.97</v>
      </c>
      <c r="O92" t="s">
        <v>1034</v>
      </c>
      <c r="P92" t="s">
        <v>1025</v>
      </c>
      <c r="Q92">
        <v>4</v>
      </c>
      <c r="R92">
        <v>2</v>
      </c>
    </row>
    <row r="93" spans="1:18" x14ac:dyDescent="0.25">
      <c r="A93" t="s">
        <v>212</v>
      </c>
      <c r="B93" t="s">
        <v>211</v>
      </c>
      <c r="C93" t="s">
        <v>18</v>
      </c>
      <c r="D93">
        <v>57</v>
      </c>
      <c r="E93" t="s">
        <v>1058</v>
      </c>
      <c r="F93" t="s">
        <v>1023</v>
      </c>
      <c r="G93" t="s">
        <v>1046</v>
      </c>
      <c r="H93">
        <v>18</v>
      </c>
      <c r="I93">
        <v>50</v>
      </c>
      <c r="J93" s="6">
        <v>50</v>
      </c>
      <c r="K93">
        <v>2.4</v>
      </c>
      <c r="L93" t="b">
        <v>1</v>
      </c>
      <c r="M93">
        <v>0.63</v>
      </c>
      <c r="N93" s="1">
        <v>0.63</v>
      </c>
      <c r="O93" t="s">
        <v>1034</v>
      </c>
      <c r="P93" t="s">
        <v>1028</v>
      </c>
      <c r="Q93">
        <v>11</v>
      </c>
      <c r="R93">
        <v>9</v>
      </c>
    </row>
    <row r="94" spans="1:18" x14ac:dyDescent="0.25">
      <c r="A94" t="s">
        <v>214</v>
      </c>
      <c r="B94" t="s">
        <v>213</v>
      </c>
      <c r="C94" t="s">
        <v>41</v>
      </c>
      <c r="D94">
        <v>53</v>
      </c>
      <c r="E94" t="s">
        <v>1065</v>
      </c>
      <c r="F94" t="s">
        <v>1066</v>
      </c>
      <c r="G94" t="s">
        <v>1045</v>
      </c>
      <c r="H94">
        <v>21</v>
      </c>
      <c r="I94" t="s">
        <v>19</v>
      </c>
      <c r="J94" s="6">
        <v>100</v>
      </c>
      <c r="K94">
        <v>2.4</v>
      </c>
      <c r="L94" t="b">
        <v>1</v>
      </c>
      <c r="M94">
        <v>0.97</v>
      </c>
      <c r="N94" s="1">
        <v>0.97</v>
      </c>
      <c r="O94" t="s">
        <v>1041</v>
      </c>
      <c r="P94" t="s">
        <v>1038</v>
      </c>
      <c r="Q94">
        <v>20</v>
      </c>
      <c r="R94">
        <v>10</v>
      </c>
    </row>
    <row r="95" spans="1:18" x14ac:dyDescent="0.25">
      <c r="A95" t="s">
        <v>216</v>
      </c>
      <c r="B95" t="s">
        <v>215</v>
      </c>
      <c r="C95" t="s">
        <v>41</v>
      </c>
      <c r="D95">
        <v>35</v>
      </c>
      <c r="E95" t="s">
        <v>1056</v>
      </c>
      <c r="F95" t="s">
        <v>1057</v>
      </c>
      <c r="G95" t="s">
        <v>1019</v>
      </c>
      <c r="H95">
        <v>3</v>
      </c>
      <c r="I95" t="s">
        <v>71</v>
      </c>
      <c r="J95" s="6">
        <v>30</v>
      </c>
      <c r="K95">
        <v>3.8</v>
      </c>
      <c r="L95" t="b">
        <v>1</v>
      </c>
      <c r="M95">
        <v>0.81</v>
      </c>
      <c r="N95" s="1">
        <v>0.81</v>
      </c>
      <c r="O95" t="s">
        <v>1034</v>
      </c>
      <c r="P95" t="s">
        <v>1028</v>
      </c>
      <c r="Q95">
        <v>3</v>
      </c>
      <c r="R95">
        <v>2</v>
      </c>
    </row>
    <row r="96" spans="1:18" x14ac:dyDescent="0.25">
      <c r="A96" t="s">
        <v>218</v>
      </c>
      <c r="B96" t="s">
        <v>217</v>
      </c>
      <c r="C96" t="s">
        <v>18</v>
      </c>
      <c r="D96">
        <v>54</v>
      </c>
      <c r="E96" t="s">
        <v>1065</v>
      </c>
      <c r="F96" t="s">
        <v>1066</v>
      </c>
      <c r="G96" t="s">
        <v>1031</v>
      </c>
      <c r="H96">
        <v>17</v>
      </c>
      <c r="I96">
        <v>20</v>
      </c>
      <c r="J96" s="6">
        <v>20</v>
      </c>
      <c r="K96">
        <v>1.7</v>
      </c>
      <c r="L96" t="b">
        <v>0</v>
      </c>
      <c r="M96">
        <v>0.69</v>
      </c>
      <c r="N96" s="1">
        <v>0.69</v>
      </c>
      <c r="O96" t="s">
        <v>1020</v>
      </c>
      <c r="P96" t="s">
        <v>1021</v>
      </c>
      <c r="Q96">
        <v>17</v>
      </c>
      <c r="R96">
        <v>15</v>
      </c>
    </row>
    <row r="97" spans="1:18" x14ac:dyDescent="0.25">
      <c r="A97" t="s">
        <v>220</v>
      </c>
      <c r="B97" t="s">
        <v>219</v>
      </c>
      <c r="C97" t="s">
        <v>18</v>
      </c>
      <c r="D97">
        <v>36</v>
      </c>
      <c r="E97" t="s">
        <v>1017</v>
      </c>
      <c r="F97" t="s">
        <v>1018</v>
      </c>
      <c r="G97" t="s">
        <v>1045</v>
      </c>
      <c r="H97">
        <v>0</v>
      </c>
      <c r="I97">
        <v>20</v>
      </c>
      <c r="J97" s="6">
        <v>20</v>
      </c>
      <c r="K97">
        <v>1.3</v>
      </c>
      <c r="L97" t="b">
        <v>1</v>
      </c>
      <c r="M97">
        <v>0.64</v>
      </c>
      <c r="N97" s="1">
        <v>0.64</v>
      </c>
      <c r="O97" t="s">
        <v>1034</v>
      </c>
      <c r="P97" t="s">
        <v>1038</v>
      </c>
      <c r="Q97">
        <v>2</v>
      </c>
      <c r="R97">
        <v>2</v>
      </c>
    </row>
    <row r="98" spans="1:18" x14ac:dyDescent="0.25">
      <c r="A98" t="s">
        <v>222</v>
      </c>
      <c r="B98" t="s">
        <v>221</v>
      </c>
      <c r="C98" t="s">
        <v>18</v>
      </c>
      <c r="D98">
        <v>49</v>
      </c>
      <c r="E98" t="s">
        <v>1068</v>
      </c>
      <c r="F98" t="s">
        <v>1044</v>
      </c>
      <c r="G98" t="s">
        <v>1046</v>
      </c>
      <c r="H98">
        <v>25</v>
      </c>
      <c r="I98">
        <v>50</v>
      </c>
      <c r="J98" s="6">
        <v>50</v>
      </c>
      <c r="K98">
        <v>5</v>
      </c>
      <c r="L98" t="b">
        <v>0</v>
      </c>
      <c r="M98">
        <v>0.77</v>
      </c>
      <c r="N98" s="1">
        <v>0.77</v>
      </c>
      <c r="O98" t="s">
        <v>1034</v>
      </c>
      <c r="P98" t="s">
        <v>1028</v>
      </c>
      <c r="Q98">
        <v>14</v>
      </c>
      <c r="R98">
        <v>8</v>
      </c>
    </row>
    <row r="99" spans="1:18" x14ac:dyDescent="0.25">
      <c r="A99" t="s">
        <v>224</v>
      </c>
      <c r="B99" t="s">
        <v>223</v>
      </c>
      <c r="C99" t="s">
        <v>41</v>
      </c>
      <c r="D99">
        <v>37</v>
      </c>
      <c r="E99" t="s">
        <v>38</v>
      </c>
      <c r="F99" t="s">
        <v>1023</v>
      </c>
      <c r="G99" t="s">
        <v>1019</v>
      </c>
      <c r="H99">
        <v>17</v>
      </c>
      <c r="I99">
        <v>20</v>
      </c>
      <c r="J99" s="6">
        <v>20</v>
      </c>
      <c r="K99">
        <v>3.3</v>
      </c>
      <c r="L99" t="b">
        <v>0</v>
      </c>
      <c r="M99">
        <v>96</v>
      </c>
      <c r="N99" s="1">
        <v>0.96</v>
      </c>
      <c r="O99" t="s">
        <v>1020</v>
      </c>
      <c r="P99" t="s">
        <v>1025</v>
      </c>
      <c r="Q99">
        <v>20</v>
      </c>
      <c r="R99">
        <v>11</v>
      </c>
    </row>
    <row r="100" spans="1:18" x14ac:dyDescent="0.25">
      <c r="A100" t="s">
        <v>226</v>
      </c>
      <c r="B100" t="s">
        <v>225</v>
      </c>
      <c r="C100" t="s">
        <v>41</v>
      </c>
      <c r="D100">
        <v>41</v>
      </c>
      <c r="E100" t="s">
        <v>38</v>
      </c>
      <c r="F100" t="s">
        <v>1023</v>
      </c>
      <c r="G100" t="s">
        <v>1045</v>
      </c>
      <c r="H100">
        <v>5</v>
      </c>
      <c r="I100" t="s">
        <v>80</v>
      </c>
      <c r="J100" s="6">
        <v>20</v>
      </c>
      <c r="K100">
        <v>1.1000000000000001</v>
      </c>
      <c r="L100" t="b">
        <v>0</v>
      </c>
      <c r="M100">
        <v>0.74</v>
      </c>
      <c r="N100" s="1">
        <v>0.74</v>
      </c>
      <c r="O100" t="s">
        <v>1042</v>
      </c>
      <c r="P100" t="s">
        <v>1025</v>
      </c>
      <c r="Q100">
        <v>2</v>
      </c>
      <c r="R100">
        <v>1</v>
      </c>
    </row>
    <row r="101" spans="1:18" x14ac:dyDescent="0.25">
      <c r="A101" t="s">
        <v>228</v>
      </c>
      <c r="B101" t="s">
        <v>227</v>
      </c>
      <c r="C101" t="s">
        <v>41</v>
      </c>
      <c r="D101">
        <v>32</v>
      </c>
      <c r="E101" t="s">
        <v>1061</v>
      </c>
      <c r="F101" t="s">
        <v>1062</v>
      </c>
      <c r="G101" t="s">
        <v>1045</v>
      </c>
      <c r="H101">
        <v>10</v>
      </c>
      <c r="I101">
        <v>50</v>
      </c>
      <c r="J101" s="6">
        <v>50</v>
      </c>
      <c r="K101">
        <v>1.2</v>
      </c>
      <c r="L101" t="b">
        <v>0</v>
      </c>
      <c r="M101">
        <v>0.89</v>
      </c>
      <c r="N101" s="1">
        <v>0.89</v>
      </c>
      <c r="O101" t="s">
        <v>1042</v>
      </c>
      <c r="P101" t="s">
        <v>1028</v>
      </c>
      <c r="Q101">
        <v>8</v>
      </c>
      <c r="R101">
        <v>12</v>
      </c>
    </row>
    <row r="102" spans="1:18" x14ac:dyDescent="0.25">
      <c r="A102" t="s">
        <v>230</v>
      </c>
      <c r="B102" t="s">
        <v>229</v>
      </c>
      <c r="C102" t="s">
        <v>41</v>
      </c>
      <c r="D102">
        <v>35</v>
      </c>
      <c r="E102" t="s">
        <v>1051</v>
      </c>
      <c r="F102" t="s">
        <v>1052</v>
      </c>
      <c r="G102" t="s">
        <v>1024</v>
      </c>
      <c r="H102">
        <v>0</v>
      </c>
      <c r="J102" s="6">
        <v>70</v>
      </c>
      <c r="K102">
        <v>2</v>
      </c>
      <c r="L102" t="b">
        <v>1</v>
      </c>
      <c r="M102">
        <v>0.64</v>
      </c>
      <c r="N102" s="1">
        <v>0.64</v>
      </c>
      <c r="O102" t="s">
        <v>1020</v>
      </c>
      <c r="P102" t="s">
        <v>1025</v>
      </c>
      <c r="Q102">
        <v>4</v>
      </c>
      <c r="R102">
        <v>1</v>
      </c>
    </row>
    <row r="103" spans="1:18" x14ac:dyDescent="0.25">
      <c r="A103" t="s">
        <v>232</v>
      </c>
      <c r="B103" t="s">
        <v>231</v>
      </c>
      <c r="C103" t="s">
        <v>18</v>
      </c>
      <c r="D103">
        <v>51</v>
      </c>
      <c r="E103" t="s">
        <v>1056</v>
      </c>
      <c r="F103" t="s">
        <v>1057</v>
      </c>
      <c r="G103" t="s">
        <v>1027</v>
      </c>
      <c r="H103">
        <v>2</v>
      </c>
      <c r="I103" t="s">
        <v>29</v>
      </c>
      <c r="J103" s="6">
        <v>30</v>
      </c>
      <c r="K103">
        <v>4.5</v>
      </c>
      <c r="L103" t="b">
        <v>0</v>
      </c>
      <c r="M103">
        <v>64</v>
      </c>
      <c r="N103" s="1">
        <v>0.64</v>
      </c>
      <c r="O103" t="s">
        <v>1041</v>
      </c>
      <c r="P103" t="s">
        <v>1025</v>
      </c>
      <c r="Q103">
        <v>5</v>
      </c>
      <c r="R103">
        <v>1</v>
      </c>
    </row>
    <row r="104" spans="1:18" x14ac:dyDescent="0.25">
      <c r="A104" t="s">
        <v>234</v>
      </c>
      <c r="B104" t="s">
        <v>233</v>
      </c>
      <c r="C104" t="s">
        <v>18</v>
      </c>
      <c r="D104">
        <v>50</v>
      </c>
      <c r="E104" t="s">
        <v>1056</v>
      </c>
      <c r="F104" t="s">
        <v>1057</v>
      </c>
      <c r="G104" t="s">
        <v>1050</v>
      </c>
      <c r="H104">
        <v>30</v>
      </c>
      <c r="I104">
        <v>100</v>
      </c>
      <c r="J104" s="6">
        <v>100</v>
      </c>
      <c r="K104">
        <v>3</v>
      </c>
      <c r="L104" t="b">
        <v>1</v>
      </c>
      <c r="M104">
        <v>0.73</v>
      </c>
      <c r="N104" s="1">
        <v>0.73</v>
      </c>
      <c r="O104" t="s">
        <v>1034</v>
      </c>
      <c r="P104" t="s">
        <v>1025</v>
      </c>
      <c r="Q104">
        <v>13</v>
      </c>
      <c r="R104">
        <v>6</v>
      </c>
    </row>
    <row r="105" spans="1:18" x14ac:dyDescent="0.25">
      <c r="A105" t="s">
        <v>236</v>
      </c>
      <c r="B105" t="s">
        <v>235</v>
      </c>
      <c r="C105" t="s">
        <v>18</v>
      </c>
      <c r="D105">
        <v>21</v>
      </c>
      <c r="E105" t="s">
        <v>1039</v>
      </c>
      <c r="F105" t="s">
        <v>1040</v>
      </c>
      <c r="G105" t="s">
        <v>1019</v>
      </c>
      <c r="H105">
        <v>2</v>
      </c>
      <c r="I105" t="s">
        <v>42</v>
      </c>
      <c r="J105" s="6">
        <v>50</v>
      </c>
      <c r="K105">
        <v>4.9000000000000004</v>
      </c>
      <c r="L105" t="b">
        <v>1</v>
      </c>
      <c r="M105">
        <v>0.68</v>
      </c>
      <c r="N105" s="1">
        <v>0.68</v>
      </c>
      <c r="O105" t="s">
        <v>1020</v>
      </c>
      <c r="P105" t="s">
        <v>1038</v>
      </c>
      <c r="Q105">
        <v>2</v>
      </c>
      <c r="R105">
        <v>3</v>
      </c>
    </row>
    <row r="106" spans="1:18" x14ac:dyDescent="0.25">
      <c r="A106" t="s">
        <v>238</v>
      </c>
      <c r="B106" t="s">
        <v>237</v>
      </c>
      <c r="C106" t="s">
        <v>41</v>
      </c>
      <c r="D106">
        <v>25</v>
      </c>
      <c r="E106" t="s">
        <v>38</v>
      </c>
      <c r="F106" t="s">
        <v>1023</v>
      </c>
      <c r="G106" t="s">
        <v>1027</v>
      </c>
      <c r="H106">
        <v>3</v>
      </c>
      <c r="I106" t="s">
        <v>29</v>
      </c>
      <c r="J106" s="6">
        <v>30</v>
      </c>
      <c r="K106">
        <v>2.4</v>
      </c>
      <c r="L106" t="b">
        <v>0</v>
      </c>
      <c r="M106">
        <v>0.88</v>
      </c>
      <c r="N106" s="1">
        <v>0.88</v>
      </c>
      <c r="O106" t="s">
        <v>1034</v>
      </c>
      <c r="P106" t="s">
        <v>1025</v>
      </c>
      <c r="Q106">
        <v>2</v>
      </c>
      <c r="R106">
        <v>4</v>
      </c>
    </row>
    <row r="107" spans="1:18" x14ac:dyDescent="0.25">
      <c r="A107" t="s">
        <v>240</v>
      </c>
      <c r="B107" t="s">
        <v>239</v>
      </c>
      <c r="C107" t="s">
        <v>18</v>
      </c>
      <c r="D107">
        <v>57</v>
      </c>
      <c r="E107" t="s">
        <v>1059</v>
      </c>
      <c r="F107" t="s">
        <v>1060</v>
      </c>
      <c r="G107" t="s">
        <v>1050</v>
      </c>
      <c r="H107">
        <v>21</v>
      </c>
      <c r="I107" t="s">
        <v>24</v>
      </c>
      <c r="J107" s="6">
        <v>40</v>
      </c>
      <c r="K107">
        <v>2.4</v>
      </c>
      <c r="L107" t="b">
        <v>0</v>
      </c>
      <c r="M107">
        <v>0.77</v>
      </c>
      <c r="N107" s="1">
        <v>0.77</v>
      </c>
      <c r="O107" t="s">
        <v>1041</v>
      </c>
      <c r="P107" t="s">
        <v>1025</v>
      </c>
      <c r="Q107">
        <v>13</v>
      </c>
      <c r="R107">
        <v>10</v>
      </c>
    </row>
    <row r="108" spans="1:18" x14ac:dyDescent="0.25">
      <c r="A108" t="s">
        <v>242</v>
      </c>
      <c r="B108" t="s">
        <v>241</v>
      </c>
      <c r="C108" t="s">
        <v>41</v>
      </c>
      <c r="D108">
        <v>58</v>
      </c>
      <c r="E108" t="s">
        <v>1056</v>
      </c>
      <c r="F108" t="s">
        <v>1057</v>
      </c>
      <c r="G108" t="s">
        <v>1019</v>
      </c>
      <c r="H108">
        <v>3</v>
      </c>
      <c r="J108" s="6">
        <v>70</v>
      </c>
      <c r="K108">
        <v>0</v>
      </c>
      <c r="L108" t="b">
        <v>1</v>
      </c>
      <c r="N108" s="1">
        <v>0.78</v>
      </c>
      <c r="O108" t="s">
        <v>1034</v>
      </c>
      <c r="P108" t="s">
        <v>1025</v>
      </c>
      <c r="Q108">
        <v>3</v>
      </c>
      <c r="R108">
        <v>4</v>
      </c>
    </row>
    <row r="109" spans="1:18" x14ac:dyDescent="0.25">
      <c r="A109" t="s">
        <v>244</v>
      </c>
      <c r="B109" t="s">
        <v>243</v>
      </c>
      <c r="C109" t="s">
        <v>18</v>
      </c>
      <c r="D109">
        <v>45</v>
      </c>
      <c r="E109" t="s">
        <v>1035</v>
      </c>
      <c r="F109" t="s">
        <v>1036</v>
      </c>
      <c r="G109" t="s">
        <v>1024</v>
      </c>
      <c r="H109">
        <v>19</v>
      </c>
      <c r="I109">
        <v>40</v>
      </c>
      <c r="J109" s="6">
        <v>40</v>
      </c>
      <c r="K109">
        <v>2.4</v>
      </c>
      <c r="L109" t="b">
        <v>1</v>
      </c>
      <c r="M109">
        <v>0.72</v>
      </c>
      <c r="N109" s="1">
        <v>0.72</v>
      </c>
      <c r="O109" t="s">
        <v>1020</v>
      </c>
      <c r="P109" t="s">
        <v>1038</v>
      </c>
      <c r="Q109">
        <v>12</v>
      </c>
      <c r="R109">
        <v>6</v>
      </c>
    </row>
    <row r="110" spans="1:18" x14ac:dyDescent="0.25">
      <c r="A110" t="s">
        <v>246</v>
      </c>
      <c r="B110" t="s">
        <v>245</v>
      </c>
      <c r="C110" t="s">
        <v>18</v>
      </c>
      <c r="D110">
        <v>23</v>
      </c>
      <c r="E110" t="s">
        <v>38</v>
      </c>
      <c r="F110" t="s">
        <v>1023</v>
      </c>
      <c r="G110" t="s">
        <v>1029</v>
      </c>
      <c r="H110">
        <v>0</v>
      </c>
      <c r="I110">
        <v>20</v>
      </c>
      <c r="J110" s="6">
        <v>20</v>
      </c>
      <c r="K110">
        <v>4.7</v>
      </c>
      <c r="L110" t="b">
        <v>1</v>
      </c>
      <c r="M110">
        <v>0.6</v>
      </c>
      <c r="N110" s="1">
        <v>0.6</v>
      </c>
      <c r="O110" t="s">
        <v>1034</v>
      </c>
      <c r="P110" t="s">
        <v>1028</v>
      </c>
      <c r="Q110">
        <v>2</v>
      </c>
      <c r="R110">
        <v>1</v>
      </c>
    </row>
    <row r="111" spans="1:18" x14ac:dyDescent="0.25">
      <c r="A111" t="s">
        <v>248</v>
      </c>
      <c r="B111" t="s">
        <v>247</v>
      </c>
      <c r="C111" t="s">
        <v>18</v>
      </c>
      <c r="D111">
        <v>46</v>
      </c>
      <c r="E111" t="s">
        <v>38</v>
      </c>
      <c r="F111" t="s">
        <v>1023</v>
      </c>
      <c r="G111" t="s">
        <v>28</v>
      </c>
      <c r="H111">
        <v>9</v>
      </c>
      <c r="I111" t="s">
        <v>29</v>
      </c>
      <c r="J111" s="6">
        <v>30</v>
      </c>
      <c r="K111">
        <v>3.5</v>
      </c>
      <c r="L111" t="b">
        <v>0</v>
      </c>
      <c r="M111">
        <v>72</v>
      </c>
      <c r="N111" s="1">
        <v>0.72</v>
      </c>
      <c r="O111" t="s">
        <v>1042</v>
      </c>
      <c r="P111" t="s">
        <v>1021</v>
      </c>
      <c r="Q111">
        <v>15</v>
      </c>
      <c r="R111">
        <v>9</v>
      </c>
    </row>
    <row r="112" spans="1:18" x14ac:dyDescent="0.25">
      <c r="A112" t="s">
        <v>250</v>
      </c>
      <c r="B112" t="s">
        <v>249</v>
      </c>
      <c r="C112" t="s">
        <v>41</v>
      </c>
      <c r="D112">
        <v>27</v>
      </c>
      <c r="E112" t="s">
        <v>1043</v>
      </c>
      <c r="F112" t="s">
        <v>1044</v>
      </c>
      <c r="G112" t="s">
        <v>1045</v>
      </c>
      <c r="H112">
        <v>5</v>
      </c>
      <c r="I112">
        <v>30</v>
      </c>
      <c r="J112" s="6">
        <v>30</v>
      </c>
      <c r="K112">
        <v>2.4</v>
      </c>
      <c r="L112" t="b">
        <v>0</v>
      </c>
      <c r="M112">
        <v>0.92</v>
      </c>
      <c r="N112" s="1">
        <v>0.92</v>
      </c>
      <c r="O112" t="s">
        <v>1041</v>
      </c>
      <c r="P112" t="s">
        <v>1025</v>
      </c>
      <c r="Q112">
        <v>3</v>
      </c>
      <c r="R112">
        <v>3</v>
      </c>
    </row>
    <row r="113" spans="1:18" x14ac:dyDescent="0.25">
      <c r="A113" t="s">
        <v>252</v>
      </c>
      <c r="B113" t="s">
        <v>251</v>
      </c>
      <c r="C113" t="s">
        <v>18</v>
      </c>
      <c r="D113">
        <v>32</v>
      </c>
      <c r="E113" t="s">
        <v>38</v>
      </c>
      <c r="F113" t="s">
        <v>1023</v>
      </c>
      <c r="G113" t="s">
        <v>1031</v>
      </c>
      <c r="H113">
        <v>6</v>
      </c>
      <c r="I113" t="s">
        <v>62</v>
      </c>
      <c r="J113" s="6">
        <v>50</v>
      </c>
      <c r="K113">
        <v>3.4</v>
      </c>
      <c r="L113" t="b">
        <v>1</v>
      </c>
      <c r="N113" s="1">
        <v>0.78</v>
      </c>
      <c r="O113" t="s">
        <v>1041</v>
      </c>
      <c r="P113" t="s">
        <v>1028</v>
      </c>
      <c r="Q113">
        <v>11</v>
      </c>
      <c r="R113">
        <v>4</v>
      </c>
    </row>
    <row r="114" spans="1:18" x14ac:dyDescent="0.25">
      <c r="A114" t="s">
        <v>254</v>
      </c>
      <c r="B114" t="s">
        <v>253</v>
      </c>
      <c r="C114" t="s">
        <v>18</v>
      </c>
      <c r="D114">
        <v>48</v>
      </c>
      <c r="E114" t="s">
        <v>1043</v>
      </c>
      <c r="F114" t="s">
        <v>1044</v>
      </c>
      <c r="G114" t="s">
        <v>1031</v>
      </c>
      <c r="H114">
        <v>6</v>
      </c>
      <c r="I114" t="s">
        <v>32</v>
      </c>
      <c r="J114" s="6">
        <v>75</v>
      </c>
      <c r="K114">
        <v>2.4</v>
      </c>
      <c r="L114" t="b">
        <v>0</v>
      </c>
      <c r="M114">
        <v>0.92</v>
      </c>
      <c r="N114" s="1">
        <v>0.92</v>
      </c>
      <c r="O114" t="s">
        <v>1041</v>
      </c>
      <c r="P114" t="s">
        <v>1025</v>
      </c>
      <c r="Q114">
        <v>13</v>
      </c>
      <c r="R114">
        <v>1</v>
      </c>
    </row>
    <row r="115" spans="1:18" x14ac:dyDescent="0.25">
      <c r="A115" t="s">
        <v>256</v>
      </c>
      <c r="B115" t="s">
        <v>255</v>
      </c>
      <c r="C115" t="s">
        <v>41</v>
      </c>
      <c r="D115">
        <v>30</v>
      </c>
      <c r="E115" t="s">
        <v>1039</v>
      </c>
      <c r="F115" t="s">
        <v>1040</v>
      </c>
      <c r="G115" t="s">
        <v>1024</v>
      </c>
      <c r="H115">
        <v>3</v>
      </c>
      <c r="I115" t="s">
        <v>29</v>
      </c>
      <c r="J115" s="6">
        <v>30</v>
      </c>
      <c r="K115">
        <v>1.1000000000000001</v>
      </c>
      <c r="L115" t="b">
        <v>1</v>
      </c>
      <c r="N115" s="1">
        <v>0.78</v>
      </c>
      <c r="O115" t="s">
        <v>1020</v>
      </c>
      <c r="P115" t="s">
        <v>1038</v>
      </c>
      <c r="Q115">
        <v>2</v>
      </c>
      <c r="R115">
        <v>1</v>
      </c>
    </row>
    <row r="116" spans="1:18" x14ac:dyDescent="0.25">
      <c r="A116" t="s">
        <v>258</v>
      </c>
      <c r="B116" t="s">
        <v>257</v>
      </c>
      <c r="C116" t="s">
        <v>41</v>
      </c>
      <c r="D116">
        <v>59</v>
      </c>
      <c r="E116" t="s">
        <v>1039</v>
      </c>
      <c r="F116" t="s">
        <v>1040</v>
      </c>
      <c r="G116" t="s">
        <v>28</v>
      </c>
      <c r="H116">
        <v>13</v>
      </c>
      <c r="I116" t="s">
        <v>259</v>
      </c>
      <c r="J116" s="6">
        <v>20</v>
      </c>
      <c r="K116">
        <v>4.8</v>
      </c>
      <c r="L116" t="b">
        <v>0</v>
      </c>
      <c r="N116" s="1">
        <v>0.78</v>
      </c>
      <c r="O116" t="s">
        <v>1041</v>
      </c>
      <c r="P116" t="s">
        <v>1028</v>
      </c>
      <c r="Q116">
        <v>7</v>
      </c>
      <c r="R116">
        <v>10</v>
      </c>
    </row>
    <row r="117" spans="1:18" x14ac:dyDescent="0.25">
      <c r="A117" t="s">
        <v>261</v>
      </c>
      <c r="B117" t="s">
        <v>260</v>
      </c>
      <c r="C117" t="s">
        <v>18</v>
      </c>
      <c r="D117">
        <v>32</v>
      </c>
      <c r="E117" t="s">
        <v>1067</v>
      </c>
      <c r="F117" t="s">
        <v>1044</v>
      </c>
      <c r="G117" t="s">
        <v>28</v>
      </c>
      <c r="H117">
        <v>5</v>
      </c>
      <c r="I117" t="s">
        <v>29</v>
      </c>
      <c r="J117" s="6">
        <v>30</v>
      </c>
      <c r="K117">
        <v>2.4</v>
      </c>
      <c r="L117" t="b">
        <v>0</v>
      </c>
      <c r="M117">
        <v>0.86</v>
      </c>
      <c r="N117" s="1">
        <v>0.86</v>
      </c>
      <c r="O117" t="s">
        <v>1042</v>
      </c>
      <c r="P117" t="s">
        <v>1038</v>
      </c>
      <c r="Q117">
        <v>3</v>
      </c>
      <c r="R117">
        <v>1</v>
      </c>
    </row>
    <row r="118" spans="1:18" x14ac:dyDescent="0.25">
      <c r="A118" t="s">
        <v>263</v>
      </c>
      <c r="B118" t="s">
        <v>262</v>
      </c>
      <c r="C118" t="s">
        <v>18</v>
      </c>
      <c r="D118">
        <v>57</v>
      </c>
      <c r="E118" t="s">
        <v>1061</v>
      </c>
      <c r="F118" t="s">
        <v>1062</v>
      </c>
      <c r="G118" t="s">
        <v>1045</v>
      </c>
      <c r="H118">
        <v>4</v>
      </c>
      <c r="I118" t="s">
        <v>35</v>
      </c>
      <c r="J118" s="6">
        <v>40</v>
      </c>
      <c r="K118">
        <v>3.4</v>
      </c>
      <c r="L118" t="b">
        <v>1</v>
      </c>
      <c r="M118">
        <v>0.68</v>
      </c>
      <c r="N118" s="1">
        <v>0.68</v>
      </c>
      <c r="O118" t="s">
        <v>1020</v>
      </c>
      <c r="P118" t="s">
        <v>1025</v>
      </c>
      <c r="Q118">
        <v>1</v>
      </c>
      <c r="R118">
        <v>4</v>
      </c>
    </row>
    <row r="119" spans="1:18" x14ac:dyDescent="0.25">
      <c r="A119" t="s">
        <v>265</v>
      </c>
      <c r="B119" t="s">
        <v>264</v>
      </c>
      <c r="C119" t="s">
        <v>41</v>
      </c>
      <c r="D119">
        <v>27</v>
      </c>
      <c r="E119" t="s">
        <v>1022</v>
      </c>
      <c r="F119" t="s">
        <v>1023</v>
      </c>
      <c r="G119" t="s">
        <v>1031</v>
      </c>
      <c r="H119">
        <v>7</v>
      </c>
      <c r="I119" t="s">
        <v>259</v>
      </c>
      <c r="J119" s="6">
        <v>20</v>
      </c>
      <c r="K119">
        <v>3.2</v>
      </c>
      <c r="L119" t="b">
        <v>1</v>
      </c>
      <c r="M119">
        <v>0.62</v>
      </c>
      <c r="N119" s="1">
        <v>0.62</v>
      </c>
      <c r="O119" t="s">
        <v>1042</v>
      </c>
      <c r="P119" t="s">
        <v>1025</v>
      </c>
      <c r="Q119">
        <v>9</v>
      </c>
      <c r="R119">
        <v>3</v>
      </c>
    </row>
    <row r="120" spans="1:18" x14ac:dyDescent="0.25">
      <c r="A120" t="s">
        <v>267</v>
      </c>
      <c r="B120" t="s">
        <v>266</v>
      </c>
      <c r="C120" t="s">
        <v>18</v>
      </c>
      <c r="D120">
        <v>33</v>
      </c>
      <c r="E120" t="s">
        <v>1047</v>
      </c>
      <c r="F120" t="s">
        <v>1036</v>
      </c>
      <c r="G120" t="s">
        <v>1031</v>
      </c>
      <c r="H120">
        <v>13</v>
      </c>
      <c r="I120">
        <v>20</v>
      </c>
      <c r="J120" s="6">
        <v>20</v>
      </c>
      <c r="K120">
        <v>3.2</v>
      </c>
      <c r="L120" t="b">
        <v>0</v>
      </c>
      <c r="N120" s="1">
        <v>0.78</v>
      </c>
      <c r="O120" t="s">
        <v>1034</v>
      </c>
      <c r="P120" t="s">
        <v>1038</v>
      </c>
      <c r="Q120">
        <v>8</v>
      </c>
      <c r="R120">
        <v>9</v>
      </c>
    </row>
    <row r="121" spans="1:18" x14ac:dyDescent="0.25">
      <c r="A121" t="s">
        <v>269</v>
      </c>
      <c r="B121" t="s">
        <v>268</v>
      </c>
      <c r="C121" t="s">
        <v>41</v>
      </c>
      <c r="D121">
        <v>29</v>
      </c>
      <c r="E121" t="s">
        <v>1047</v>
      </c>
      <c r="F121" t="s">
        <v>1055</v>
      </c>
      <c r="G121" t="s">
        <v>1037</v>
      </c>
      <c r="H121">
        <v>4</v>
      </c>
      <c r="I121">
        <v>30</v>
      </c>
      <c r="J121" s="6">
        <v>30</v>
      </c>
      <c r="K121">
        <v>0</v>
      </c>
      <c r="L121" t="b">
        <v>1</v>
      </c>
      <c r="M121">
        <v>0.82</v>
      </c>
      <c r="N121" s="1">
        <v>0.82</v>
      </c>
      <c r="O121" t="s">
        <v>1034</v>
      </c>
      <c r="P121" t="s">
        <v>1021</v>
      </c>
      <c r="Q121">
        <v>5</v>
      </c>
      <c r="R121">
        <v>3</v>
      </c>
    </row>
    <row r="122" spans="1:18" x14ac:dyDescent="0.25">
      <c r="A122" t="s">
        <v>1069</v>
      </c>
      <c r="B122" t="s">
        <v>270</v>
      </c>
      <c r="C122" t="s">
        <v>18</v>
      </c>
      <c r="D122">
        <v>36</v>
      </c>
      <c r="E122" t="s">
        <v>1035</v>
      </c>
      <c r="F122" t="s">
        <v>1036</v>
      </c>
      <c r="G122" t="s">
        <v>1045</v>
      </c>
      <c r="H122">
        <v>13</v>
      </c>
      <c r="I122">
        <v>75</v>
      </c>
      <c r="J122" s="6">
        <v>75</v>
      </c>
      <c r="K122">
        <v>2.4</v>
      </c>
      <c r="L122" t="b">
        <v>1</v>
      </c>
      <c r="N122" s="1">
        <v>0.78</v>
      </c>
      <c r="O122" t="s">
        <v>1034</v>
      </c>
      <c r="P122" t="s">
        <v>1038</v>
      </c>
      <c r="Q122">
        <v>14</v>
      </c>
      <c r="R122">
        <v>4</v>
      </c>
    </row>
    <row r="123" spans="1:18" x14ac:dyDescent="0.25">
      <c r="A123" t="s">
        <v>272</v>
      </c>
      <c r="B123" t="s">
        <v>271</v>
      </c>
      <c r="C123" t="s">
        <v>18</v>
      </c>
      <c r="D123">
        <v>47</v>
      </c>
      <c r="E123" t="s">
        <v>1017</v>
      </c>
      <c r="F123" t="s">
        <v>1018</v>
      </c>
      <c r="G123" t="s">
        <v>1050</v>
      </c>
      <c r="H123">
        <v>5</v>
      </c>
      <c r="I123" t="s">
        <v>24</v>
      </c>
      <c r="J123" s="6">
        <v>40</v>
      </c>
      <c r="K123">
        <v>3.7</v>
      </c>
      <c r="L123" t="b">
        <v>0</v>
      </c>
      <c r="M123">
        <v>93</v>
      </c>
      <c r="N123" s="1">
        <v>0.93</v>
      </c>
      <c r="O123" t="s">
        <v>1034</v>
      </c>
      <c r="P123" t="s">
        <v>1025</v>
      </c>
      <c r="Q123">
        <v>3</v>
      </c>
      <c r="R123">
        <v>1</v>
      </c>
    </row>
    <row r="124" spans="1:18" x14ac:dyDescent="0.25">
      <c r="A124" t="s">
        <v>274</v>
      </c>
      <c r="B124" t="s">
        <v>273</v>
      </c>
      <c r="C124" t="s">
        <v>41</v>
      </c>
      <c r="D124">
        <v>48</v>
      </c>
      <c r="E124" t="s">
        <v>1058</v>
      </c>
      <c r="F124" t="s">
        <v>1023</v>
      </c>
      <c r="G124" t="s">
        <v>1031</v>
      </c>
      <c r="H124">
        <v>15</v>
      </c>
      <c r="I124" t="s">
        <v>62</v>
      </c>
      <c r="J124" s="6">
        <v>50</v>
      </c>
      <c r="K124">
        <v>1</v>
      </c>
      <c r="L124" t="b">
        <v>1</v>
      </c>
      <c r="M124">
        <v>0.64</v>
      </c>
      <c r="N124" s="1">
        <v>0.64</v>
      </c>
      <c r="O124" t="s">
        <v>1042</v>
      </c>
      <c r="P124" t="s">
        <v>1038</v>
      </c>
      <c r="Q124">
        <v>14</v>
      </c>
      <c r="R124">
        <v>5</v>
      </c>
    </row>
    <row r="125" spans="1:18" x14ac:dyDescent="0.25">
      <c r="A125" t="s">
        <v>276</v>
      </c>
      <c r="B125" t="s">
        <v>275</v>
      </c>
      <c r="C125" t="s">
        <v>18</v>
      </c>
      <c r="D125">
        <v>27</v>
      </c>
      <c r="E125" t="s">
        <v>1065</v>
      </c>
      <c r="F125" t="s">
        <v>1066</v>
      </c>
      <c r="G125" t="s">
        <v>1045</v>
      </c>
      <c r="H125">
        <v>8</v>
      </c>
      <c r="I125" t="s">
        <v>42</v>
      </c>
      <c r="J125" s="6">
        <v>50</v>
      </c>
      <c r="K125">
        <v>0</v>
      </c>
      <c r="L125" t="b">
        <v>0</v>
      </c>
      <c r="N125" s="1">
        <v>0.78</v>
      </c>
      <c r="O125" t="s">
        <v>1020</v>
      </c>
      <c r="P125" t="s">
        <v>1021</v>
      </c>
      <c r="Q125">
        <v>14</v>
      </c>
      <c r="R125">
        <v>6</v>
      </c>
    </row>
    <row r="126" spans="1:18" x14ac:dyDescent="0.25">
      <c r="A126" t="s">
        <v>278</v>
      </c>
      <c r="B126" t="s">
        <v>277</v>
      </c>
      <c r="C126" t="s">
        <v>41</v>
      </c>
      <c r="D126">
        <v>34</v>
      </c>
      <c r="E126" t="s">
        <v>1022</v>
      </c>
      <c r="F126" t="s">
        <v>1023</v>
      </c>
      <c r="G126" t="s">
        <v>1029</v>
      </c>
      <c r="H126">
        <v>10</v>
      </c>
      <c r="J126" s="6">
        <v>70</v>
      </c>
      <c r="K126">
        <v>1.7</v>
      </c>
      <c r="L126" t="b">
        <v>0</v>
      </c>
      <c r="M126">
        <v>0.96</v>
      </c>
      <c r="N126" s="1">
        <v>0.96</v>
      </c>
      <c r="O126" t="s">
        <v>1020</v>
      </c>
      <c r="P126" t="s">
        <v>1038</v>
      </c>
      <c r="Q126">
        <v>7</v>
      </c>
      <c r="R126">
        <v>9</v>
      </c>
    </row>
    <row r="127" spans="1:18" x14ac:dyDescent="0.25">
      <c r="A127" t="s">
        <v>280</v>
      </c>
      <c r="B127" t="s">
        <v>279</v>
      </c>
      <c r="C127" t="s">
        <v>41</v>
      </c>
      <c r="D127">
        <v>49</v>
      </c>
      <c r="E127" t="s">
        <v>1047</v>
      </c>
      <c r="F127" t="s">
        <v>1055</v>
      </c>
      <c r="G127" t="s">
        <v>1037</v>
      </c>
      <c r="H127">
        <v>19</v>
      </c>
      <c r="J127" s="6">
        <v>70</v>
      </c>
      <c r="K127">
        <v>5</v>
      </c>
      <c r="L127" t="b">
        <v>1</v>
      </c>
      <c r="M127">
        <v>0.83</v>
      </c>
      <c r="N127" s="1">
        <v>0.83</v>
      </c>
      <c r="O127" t="s">
        <v>1041</v>
      </c>
      <c r="P127" t="s">
        <v>1021</v>
      </c>
      <c r="Q127">
        <v>11</v>
      </c>
      <c r="R127">
        <v>5</v>
      </c>
    </row>
    <row r="128" spans="1:18" x14ac:dyDescent="0.25">
      <c r="A128" t="s">
        <v>282</v>
      </c>
      <c r="B128" t="s">
        <v>281</v>
      </c>
      <c r="C128" t="s">
        <v>41</v>
      </c>
      <c r="D128">
        <v>30</v>
      </c>
      <c r="E128" t="s">
        <v>1053</v>
      </c>
      <c r="F128" t="s">
        <v>1054</v>
      </c>
      <c r="G128" t="s">
        <v>1024</v>
      </c>
      <c r="H128">
        <v>10</v>
      </c>
      <c r="I128" t="s">
        <v>174</v>
      </c>
      <c r="J128" s="6">
        <v>100</v>
      </c>
      <c r="K128">
        <v>1.7</v>
      </c>
      <c r="L128" t="b">
        <v>1</v>
      </c>
      <c r="M128">
        <v>0.64</v>
      </c>
      <c r="N128" s="1">
        <v>0.64</v>
      </c>
      <c r="O128" t="s">
        <v>1042</v>
      </c>
      <c r="P128" t="s">
        <v>1021</v>
      </c>
      <c r="Q128">
        <v>14</v>
      </c>
      <c r="R128">
        <v>9</v>
      </c>
    </row>
    <row r="129" spans="1:18" x14ac:dyDescent="0.25">
      <c r="A129" t="s">
        <v>284</v>
      </c>
      <c r="B129" t="s">
        <v>283</v>
      </c>
      <c r="C129" t="s">
        <v>41</v>
      </c>
      <c r="D129">
        <v>31</v>
      </c>
      <c r="E129" t="s">
        <v>1061</v>
      </c>
      <c r="F129" t="s">
        <v>1062</v>
      </c>
      <c r="G129" t="s">
        <v>1027</v>
      </c>
      <c r="H129">
        <v>8</v>
      </c>
      <c r="I129">
        <v>40</v>
      </c>
      <c r="J129" s="6">
        <v>40</v>
      </c>
      <c r="K129">
        <v>4.4000000000000004</v>
      </c>
      <c r="L129" t="b">
        <v>0</v>
      </c>
      <c r="M129">
        <v>0.7</v>
      </c>
      <c r="N129" s="1">
        <v>0.7</v>
      </c>
      <c r="O129" t="s">
        <v>1034</v>
      </c>
      <c r="P129" t="s">
        <v>1038</v>
      </c>
      <c r="Q129">
        <v>15</v>
      </c>
      <c r="R129">
        <v>5</v>
      </c>
    </row>
    <row r="130" spans="1:18" x14ac:dyDescent="0.25">
      <c r="A130" t="s">
        <v>286</v>
      </c>
      <c r="B130" t="s">
        <v>285</v>
      </c>
      <c r="C130" t="s">
        <v>41</v>
      </c>
      <c r="D130">
        <v>58</v>
      </c>
      <c r="E130" t="s">
        <v>1065</v>
      </c>
      <c r="F130" t="s">
        <v>1066</v>
      </c>
      <c r="G130" t="s">
        <v>1031</v>
      </c>
      <c r="H130">
        <v>9</v>
      </c>
      <c r="I130">
        <v>20</v>
      </c>
      <c r="J130" s="6">
        <v>20</v>
      </c>
      <c r="K130">
        <v>0</v>
      </c>
      <c r="L130" t="b">
        <v>0</v>
      </c>
      <c r="M130">
        <v>0.65</v>
      </c>
      <c r="N130" s="1">
        <v>0.65</v>
      </c>
      <c r="O130" t="s">
        <v>1042</v>
      </c>
      <c r="P130" t="s">
        <v>1038</v>
      </c>
      <c r="Q130">
        <v>15</v>
      </c>
      <c r="R130">
        <v>7</v>
      </c>
    </row>
    <row r="131" spans="1:18" x14ac:dyDescent="0.25">
      <c r="A131" t="s">
        <v>288</v>
      </c>
      <c r="B131" t="s">
        <v>287</v>
      </c>
      <c r="C131" t="s">
        <v>41</v>
      </c>
      <c r="D131">
        <v>47</v>
      </c>
      <c r="E131" t="s">
        <v>1059</v>
      </c>
      <c r="F131" t="s">
        <v>1060</v>
      </c>
      <c r="G131" t="s">
        <v>1031</v>
      </c>
      <c r="H131">
        <v>13</v>
      </c>
      <c r="I131">
        <v>40</v>
      </c>
      <c r="J131" s="6">
        <v>40</v>
      </c>
      <c r="K131">
        <v>3.4</v>
      </c>
      <c r="L131" t="b">
        <v>0</v>
      </c>
      <c r="M131">
        <v>0.67</v>
      </c>
      <c r="N131" s="1">
        <v>0.67</v>
      </c>
      <c r="O131" t="s">
        <v>1041</v>
      </c>
      <c r="P131" t="s">
        <v>1028</v>
      </c>
      <c r="Q131">
        <v>7</v>
      </c>
      <c r="R131">
        <v>3</v>
      </c>
    </row>
    <row r="132" spans="1:18" x14ac:dyDescent="0.25">
      <c r="A132" t="s">
        <v>290</v>
      </c>
      <c r="B132" t="s">
        <v>289</v>
      </c>
      <c r="C132" t="s">
        <v>18</v>
      </c>
      <c r="D132">
        <v>45</v>
      </c>
      <c r="E132" t="s">
        <v>45</v>
      </c>
      <c r="F132" t="s">
        <v>1023</v>
      </c>
      <c r="G132" t="s">
        <v>1046</v>
      </c>
      <c r="H132">
        <v>14</v>
      </c>
      <c r="I132" t="s">
        <v>19</v>
      </c>
      <c r="J132" s="6">
        <v>100</v>
      </c>
      <c r="K132">
        <v>1.1000000000000001</v>
      </c>
      <c r="L132" t="b">
        <v>0</v>
      </c>
      <c r="M132">
        <v>93</v>
      </c>
      <c r="N132" s="1">
        <v>0.93</v>
      </c>
      <c r="O132" t="s">
        <v>1041</v>
      </c>
      <c r="P132" t="s">
        <v>1025</v>
      </c>
      <c r="Q132">
        <v>12</v>
      </c>
      <c r="R132">
        <v>12</v>
      </c>
    </row>
    <row r="133" spans="1:18" x14ac:dyDescent="0.25">
      <c r="A133" t="s">
        <v>292</v>
      </c>
      <c r="B133" t="s">
        <v>291</v>
      </c>
      <c r="C133" t="s">
        <v>18</v>
      </c>
      <c r="D133">
        <v>57</v>
      </c>
      <c r="E133" t="s">
        <v>1059</v>
      </c>
      <c r="F133" t="s">
        <v>1060</v>
      </c>
      <c r="G133" t="s">
        <v>1031</v>
      </c>
      <c r="H133">
        <v>0</v>
      </c>
      <c r="I133">
        <v>50</v>
      </c>
      <c r="J133" s="6">
        <v>50</v>
      </c>
      <c r="K133">
        <v>1.6</v>
      </c>
      <c r="L133" t="b">
        <v>0</v>
      </c>
      <c r="M133">
        <v>0.6</v>
      </c>
      <c r="N133" s="1">
        <v>0.6</v>
      </c>
      <c r="O133" t="s">
        <v>1042</v>
      </c>
      <c r="P133" t="s">
        <v>1021</v>
      </c>
      <c r="Q133">
        <v>3</v>
      </c>
      <c r="R133">
        <v>2</v>
      </c>
    </row>
    <row r="134" spans="1:18" x14ac:dyDescent="0.25">
      <c r="A134" t="s">
        <v>294</v>
      </c>
      <c r="B134" t="s">
        <v>293</v>
      </c>
      <c r="C134" t="s">
        <v>41</v>
      </c>
      <c r="D134">
        <v>50</v>
      </c>
      <c r="E134" t="s">
        <v>1051</v>
      </c>
      <c r="F134" t="s">
        <v>1052</v>
      </c>
      <c r="G134" t="s">
        <v>1029</v>
      </c>
      <c r="H134">
        <v>22</v>
      </c>
      <c r="I134">
        <v>100</v>
      </c>
      <c r="J134" s="6">
        <v>100</v>
      </c>
      <c r="K134">
        <v>4.0999999999999996</v>
      </c>
      <c r="L134" t="b">
        <v>0</v>
      </c>
      <c r="M134">
        <v>0.62</v>
      </c>
      <c r="N134" s="1">
        <v>0.62</v>
      </c>
      <c r="O134" t="s">
        <v>1042</v>
      </c>
      <c r="P134" t="s">
        <v>1028</v>
      </c>
      <c r="Q134">
        <v>17</v>
      </c>
      <c r="R134">
        <v>6</v>
      </c>
    </row>
    <row r="135" spans="1:18" x14ac:dyDescent="0.25">
      <c r="A135" t="s">
        <v>296</v>
      </c>
      <c r="B135" t="s">
        <v>295</v>
      </c>
      <c r="C135" t="s">
        <v>18</v>
      </c>
      <c r="D135">
        <v>41</v>
      </c>
      <c r="E135" t="s">
        <v>1053</v>
      </c>
      <c r="F135" t="s">
        <v>1054</v>
      </c>
      <c r="G135" t="s">
        <v>1031</v>
      </c>
      <c r="H135">
        <v>4</v>
      </c>
      <c r="J135" s="6">
        <v>70</v>
      </c>
      <c r="K135">
        <v>2.4</v>
      </c>
      <c r="L135" t="b">
        <v>0</v>
      </c>
      <c r="M135">
        <v>0.7</v>
      </c>
      <c r="N135" s="1">
        <v>0.7</v>
      </c>
      <c r="O135" t="s">
        <v>1042</v>
      </c>
      <c r="P135" t="s">
        <v>1038</v>
      </c>
      <c r="Q135">
        <v>2</v>
      </c>
      <c r="R135">
        <v>1</v>
      </c>
    </row>
    <row r="136" spans="1:18" x14ac:dyDescent="0.25">
      <c r="A136" t="s">
        <v>298</v>
      </c>
      <c r="B136" t="s">
        <v>297</v>
      </c>
      <c r="C136" t="s">
        <v>18</v>
      </c>
      <c r="D136">
        <v>45</v>
      </c>
      <c r="E136" t="s">
        <v>1035</v>
      </c>
      <c r="F136" t="s">
        <v>1036</v>
      </c>
      <c r="G136" t="s">
        <v>1019</v>
      </c>
      <c r="H136">
        <v>22</v>
      </c>
      <c r="I136" t="s">
        <v>174</v>
      </c>
      <c r="J136" s="6">
        <v>100</v>
      </c>
      <c r="K136">
        <v>4</v>
      </c>
      <c r="L136" t="b">
        <v>1</v>
      </c>
      <c r="M136">
        <v>0.75</v>
      </c>
      <c r="N136" s="1">
        <v>0.75</v>
      </c>
      <c r="O136" t="s">
        <v>1020</v>
      </c>
      <c r="P136" t="s">
        <v>1025</v>
      </c>
      <c r="Q136">
        <v>16</v>
      </c>
      <c r="R136">
        <v>4</v>
      </c>
    </row>
    <row r="137" spans="1:18" x14ac:dyDescent="0.25">
      <c r="A137" t="s">
        <v>300</v>
      </c>
      <c r="B137" t="s">
        <v>299</v>
      </c>
      <c r="C137" t="s">
        <v>41</v>
      </c>
      <c r="D137">
        <v>60</v>
      </c>
      <c r="E137" t="s">
        <v>1063</v>
      </c>
      <c r="F137" t="s">
        <v>1064</v>
      </c>
      <c r="G137" t="s">
        <v>1046</v>
      </c>
      <c r="H137">
        <v>39</v>
      </c>
      <c r="I137">
        <v>75</v>
      </c>
      <c r="J137" s="6">
        <v>75</v>
      </c>
      <c r="K137">
        <v>1.4</v>
      </c>
      <c r="L137" t="b">
        <v>0</v>
      </c>
      <c r="M137">
        <v>0.7</v>
      </c>
      <c r="N137" s="1">
        <v>0.7</v>
      </c>
      <c r="O137" t="s">
        <v>1034</v>
      </c>
      <c r="P137" t="s">
        <v>1028</v>
      </c>
      <c r="Q137">
        <v>10</v>
      </c>
      <c r="R137">
        <v>3</v>
      </c>
    </row>
    <row r="138" spans="1:18" x14ac:dyDescent="0.25">
      <c r="A138" t="s">
        <v>302</v>
      </c>
      <c r="B138" t="s">
        <v>301</v>
      </c>
      <c r="C138" t="s">
        <v>18</v>
      </c>
      <c r="D138">
        <v>43</v>
      </c>
      <c r="E138" t="s">
        <v>45</v>
      </c>
      <c r="F138" t="s">
        <v>1023</v>
      </c>
      <c r="G138" t="s">
        <v>1046</v>
      </c>
      <c r="H138">
        <v>5</v>
      </c>
      <c r="I138" t="s">
        <v>62</v>
      </c>
      <c r="J138" s="6">
        <v>50</v>
      </c>
      <c r="K138">
        <v>2.4</v>
      </c>
      <c r="L138" t="b">
        <v>1</v>
      </c>
      <c r="M138">
        <v>0.84</v>
      </c>
      <c r="N138" s="1">
        <v>0.84</v>
      </c>
      <c r="O138" t="s">
        <v>1042</v>
      </c>
      <c r="P138" t="s">
        <v>1021</v>
      </c>
      <c r="Q138">
        <v>1</v>
      </c>
      <c r="R138">
        <v>3</v>
      </c>
    </row>
    <row r="139" spans="1:18" x14ac:dyDescent="0.25">
      <c r="A139" t="s">
        <v>304</v>
      </c>
      <c r="B139" t="s">
        <v>303</v>
      </c>
      <c r="C139" t="s">
        <v>18</v>
      </c>
      <c r="D139">
        <v>39</v>
      </c>
      <c r="E139" t="s">
        <v>1059</v>
      </c>
      <c r="F139" t="s">
        <v>1060</v>
      </c>
      <c r="G139" t="s">
        <v>1046</v>
      </c>
      <c r="H139">
        <v>5</v>
      </c>
      <c r="I139" t="s">
        <v>35</v>
      </c>
      <c r="J139" s="6">
        <v>40</v>
      </c>
      <c r="K139">
        <v>1.2</v>
      </c>
      <c r="L139" t="b">
        <v>0</v>
      </c>
      <c r="M139">
        <v>83</v>
      </c>
      <c r="N139" s="1">
        <v>0.83</v>
      </c>
      <c r="O139" t="s">
        <v>1042</v>
      </c>
      <c r="P139" t="s">
        <v>1028</v>
      </c>
      <c r="Q139">
        <v>4</v>
      </c>
      <c r="R139">
        <v>1</v>
      </c>
    </row>
    <row r="140" spans="1:18" x14ac:dyDescent="0.25">
      <c r="A140" t="s">
        <v>306</v>
      </c>
      <c r="B140" t="s">
        <v>305</v>
      </c>
      <c r="C140" t="s">
        <v>41</v>
      </c>
      <c r="D140">
        <v>26</v>
      </c>
      <c r="E140" t="s">
        <v>1067</v>
      </c>
      <c r="F140" t="s">
        <v>1044</v>
      </c>
      <c r="G140" t="s">
        <v>1045</v>
      </c>
      <c r="H140">
        <v>5</v>
      </c>
      <c r="I140">
        <v>50</v>
      </c>
      <c r="J140" s="6">
        <v>50</v>
      </c>
      <c r="K140">
        <v>0</v>
      </c>
      <c r="L140" t="b">
        <v>0</v>
      </c>
      <c r="N140" s="1">
        <v>0.78</v>
      </c>
      <c r="O140" t="s">
        <v>1042</v>
      </c>
      <c r="P140" t="s">
        <v>1021</v>
      </c>
      <c r="Q140">
        <v>3</v>
      </c>
      <c r="R140">
        <v>1</v>
      </c>
    </row>
    <row r="141" spans="1:18" x14ac:dyDescent="0.25">
      <c r="A141" t="s">
        <v>308</v>
      </c>
      <c r="B141" t="s">
        <v>307</v>
      </c>
      <c r="C141" t="s">
        <v>41</v>
      </c>
      <c r="D141">
        <v>31</v>
      </c>
      <c r="E141" t="s">
        <v>1026</v>
      </c>
      <c r="F141" t="s">
        <v>1026</v>
      </c>
      <c r="G141" t="s">
        <v>1046</v>
      </c>
      <c r="H141">
        <v>11</v>
      </c>
      <c r="I141">
        <v>50</v>
      </c>
      <c r="J141" s="6">
        <v>50</v>
      </c>
      <c r="K141">
        <v>3.1</v>
      </c>
      <c r="L141" t="b">
        <v>0</v>
      </c>
      <c r="M141">
        <v>0.88</v>
      </c>
      <c r="N141" s="1">
        <v>0.88</v>
      </c>
      <c r="O141" t="s">
        <v>1041</v>
      </c>
      <c r="P141" t="s">
        <v>1038</v>
      </c>
      <c r="Q141">
        <v>14</v>
      </c>
      <c r="R141">
        <v>3</v>
      </c>
    </row>
    <row r="142" spans="1:18" x14ac:dyDescent="0.25">
      <c r="A142" t="s">
        <v>310</v>
      </c>
      <c r="B142" t="s">
        <v>309</v>
      </c>
      <c r="C142" t="s">
        <v>41</v>
      </c>
      <c r="D142">
        <v>52</v>
      </c>
      <c r="E142" t="s">
        <v>1059</v>
      </c>
      <c r="F142" t="s">
        <v>1060</v>
      </c>
      <c r="G142" t="s">
        <v>1045</v>
      </c>
      <c r="H142">
        <v>15</v>
      </c>
      <c r="I142">
        <v>50</v>
      </c>
      <c r="J142" s="6">
        <v>50</v>
      </c>
      <c r="K142">
        <v>0</v>
      </c>
      <c r="L142" t="b">
        <v>1</v>
      </c>
      <c r="M142">
        <v>0.81</v>
      </c>
      <c r="N142" s="1">
        <v>0.81</v>
      </c>
      <c r="O142" t="s">
        <v>1041</v>
      </c>
      <c r="P142" t="s">
        <v>1025</v>
      </c>
      <c r="Q142">
        <v>10</v>
      </c>
      <c r="R142">
        <v>12</v>
      </c>
    </row>
    <row r="143" spans="1:18" x14ac:dyDescent="0.25">
      <c r="A143" t="s">
        <v>312</v>
      </c>
      <c r="B143" t="s">
        <v>311</v>
      </c>
      <c r="C143" t="s">
        <v>18</v>
      </c>
      <c r="D143">
        <v>34</v>
      </c>
      <c r="E143" t="s">
        <v>1051</v>
      </c>
      <c r="F143" t="s">
        <v>1052</v>
      </c>
      <c r="G143" t="s">
        <v>1037</v>
      </c>
      <c r="H143">
        <v>5</v>
      </c>
      <c r="I143" t="s">
        <v>259</v>
      </c>
      <c r="J143" s="6">
        <v>20</v>
      </c>
      <c r="K143">
        <v>2.2000000000000002</v>
      </c>
      <c r="L143" t="b">
        <v>1</v>
      </c>
      <c r="M143">
        <v>0.8</v>
      </c>
      <c r="N143" s="1">
        <v>0.8</v>
      </c>
      <c r="O143" t="s">
        <v>1020</v>
      </c>
      <c r="P143" t="s">
        <v>1025</v>
      </c>
      <c r="Q143">
        <v>3</v>
      </c>
      <c r="R143">
        <v>3</v>
      </c>
    </row>
    <row r="144" spans="1:18" x14ac:dyDescent="0.25">
      <c r="A144" t="s">
        <v>314</v>
      </c>
      <c r="B144" t="s">
        <v>313</v>
      </c>
      <c r="C144" t="s">
        <v>41</v>
      </c>
      <c r="D144">
        <v>45</v>
      </c>
      <c r="E144" t="s">
        <v>45</v>
      </c>
      <c r="F144" t="s">
        <v>1023</v>
      </c>
      <c r="G144" t="s">
        <v>1029</v>
      </c>
      <c r="H144">
        <v>7</v>
      </c>
      <c r="I144">
        <v>75</v>
      </c>
      <c r="J144" s="6">
        <v>75</v>
      </c>
      <c r="K144">
        <v>3</v>
      </c>
      <c r="L144" t="b">
        <v>1</v>
      </c>
      <c r="M144">
        <v>0.67</v>
      </c>
      <c r="N144" s="1">
        <v>0.67</v>
      </c>
      <c r="O144" t="s">
        <v>1034</v>
      </c>
      <c r="P144" t="s">
        <v>1025</v>
      </c>
      <c r="Q144">
        <v>7</v>
      </c>
      <c r="R144">
        <v>8</v>
      </c>
    </row>
    <row r="145" spans="1:18" x14ac:dyDescent="0.25">
      <c r="A145" t="s">
        <v>316</v>
      </c>
      <c r="B145" t="s">
        <v>315</v>
      </c>
      <c r="C145" t="s">
        <v>41</v>
      </c>
      <c r="D145">
        <v>46</v>
      </c>
      <c r="E145" t="s">
        <v>45</v>
      </c>
      <c r="F145" t="s">
        <v>1023</v>
      </c>
      <c r="G145" t="s">
        <v>1046</v>
      </c>
      <c r="H145">
        <v>9</v>
      </c>
      <c r="I145" t="s">
        <v>80</v>
      </c>
      <c r="J145" s="6">
        <v>20</v>
      </c>
      <c r="K145">
        <v>0</v>
      </c>
      <c r="L145" t="b">
        <v>0</v>
      </c>
      <c r="M145">
        <v>0.82</v>
      </c>
      <c r="N145" s="1">
        <v>0.82</v>
      </c>
      <c r="O145" t="s">
        <v>1020</v>
      </c>
      <c r="P145" t="s">
        <v>1038</v>
      </c>
      <c r="Q145">
        <v>14</v>
      </c>
      <c r="R145">
        <v>6</v>
      </c>
    </row>
    <row r="146" spans="1:18" x14ac:dyDescent="0.25">
      <c r="A146" t="s">
        <v>318</v>
      </c>
      <c r="B146" t="s">
        <v>317</v>
      </c>
      <c r="C146" t="s">
        <v>41</v>
      </c>
      <c r="D146">
        <v>56</v>
      </c>
      <c r="E146" t="s">
        <v>1059</v>
      </c>
      <c r="F146" t="s">
        <v>1060</v>
      </c>
      <c r="G146" t="s">
        <v>1045</v>
      </c>
      <c r="H146">
        <v>21</v>
      </c>
      <c r="I146" t="s">
        <v>19</v>
      </c>
      <c r="J146" s="6">
        <v>100</v>
      </c>
      <c r="K146">
        <v>0</v>
      </c>
      <c r="L146" t="b">
        <v>1</v>
      </c>
      <c r="M146">
        <v>78</v>
      </c>
      <c r="N146" s="1">
        <v>0.78</v>
      </c>
      <c r="O146" t="s">
        <v>1034</v>
      </c>
      <c r="P146" t="s">
        <v>1021</v>
      </c>
      <c r="Q146">
        <v>18</v>
      </c>
      <c r="R146">
        <v>13</v>
      </c>
    </row>
    <row r="147" spans="1:18" x14ac:dyDescent="0.25">
      <c r="A147" t="s">
        <v>320</v>
      </c>
      <c r="B147" t="s">
        <v>319</v>
      </c>
      <c r="C147" t="s">
        <v>18</v>
      </c>
      <c r="D147">
        <v>59</v>
      </c>
      <c r="E147" t="s">
        <v>1026</v>
      </c>
      <c r="F147" t="s">
        <v>1026</v>
      </c>
      <c r="G147" t="s">
        <v>28</v>
      </c>
      <c r="H147">
        <v>7</v>
      </c>
      <c r="I147" t="s">
        <v>24</v>
      </c>
      <c r="J147" s="6">
        <v>40</v>
      </c>
      <c r="K147">
        <v>1.4</v>
      </c>
      <c r="L147" t="b">
        <v>0</v>
      </c>
      <c r="M147">
        <v>0.81</v>
      </c>
      <c r="N147" s="1">
        <v>0.81</v>
      </c>
      <c r="O147" t="s">
        <v>1041</v>
      </c>
      <c r="P147" t="s">
        <v>1038</v>
      </c>
      <c r="Q147">
        <v>9</v>
      </c>
      <c r="R147">
        <v>11</v>
      </c>
    </row>
    <row r="148" spans="1:18" x14ac:dyDescent="0.25">
      <c r="A148" t="s">
        <v>322</v>
      </c>
      <c r="B148" t="s">
        <v>321</v>
      </c>
      <c r="C148" t="s">
        <v>18</v>
      </c>
      <c r="D148">
        <v>54</v>
      </c>
      <c r="E148" t="s">
        <v>1061</v>
      </c>
      <c r="F148" t="s">
        <v>1062</v>
      </c>
      <c r="G148" t="s">
        <v>1019</v>
      </c>
      <c r="H148">
        <v>4</v>
      </c>
      <c r="J148" s="6">
        <v>70</v>
      </c>
      <c r="K148">
        <v>1.4</v>
      </c>
      <c r="L148" t="b">
        <v>1</v>
      </c>
      <c r="M148">
        <v>0.74</v>
      </c>
      <c r="N148" s="1">
        <v>0.74</v>
      </c>
      <c r="O148" t="s">
        <v>1041</v>
      </c>
      <c r="P148" t="s">
        <v>1025</v>
      </c>
      <c r="Q148">
        <v>5</v>
      </c>
      <c r="R148">
        <v>1</v>
      </c>
    </row>
    <row r="149" spans="1:18" x14ac:dyDescent="0.25">
      <c r="A149" t="s">
        <v>324</v>
      </c>
      <c r="B149" t="s">
        <v>323</v>
      </c>
      <c r="C149" t="s">
        <v>41</v>
      </c>
      <c r="D149">
        <v>36</v>
      </c>
      <c r="E149" t="s">
        <v>1026</v>
      </c>
      <c r="F149" t="s">
        <v>1026</v>
      </c>
      <c r="G149" t="s">
        <v>1045</v>
      </c>
      <c r="H149">
        <v>7</v>
      </c>
      <c r="I149">
        <v>30</v>
      </c>
      <c r="J149" s="6">
        <v>30</v>
      </c>
      <c r="K149">
        <v>0</v>
      </c>
      <c r="L149" t="b">
        <v>0</v>
      </c>
      <c r="M149">
        <v>0.88</v>
      </c>
      <c r="N149" s="1">
        <v>0.88</v>
      </c>
      <c r="O149" t="s">
        <v>1041</v>
      </c>
      <c r="P149" t="s">
        <v>1038</v>
      </c>
      <c r="Q149">
        <v>7</v>
      </c>
      <c r="R149">
        <v>2</v>
      </c>
    </row>
    <row r="150" spans="1:18" x14ac:dyDescent="0.25">
      <c r="A150" t="s">
        <v>326</v>
      </c>
      <c r="B150" t="s">
        <v>325</v>
      </c>
      <c r="C150" t="s">
        <v>41</v>
      </c>
      <c r="D150">
        <v>25</v>
      </c>
      <c r="E150" t="s">
        <v>1067</v>
      </c>
      <c r="F150" t="s">
        <v>1044</v>
      </c>
      <c r="G150" t="s">
        <v>1037</v>
      </c>
      <c r="H150">
        <v>0</v>
      </c>
      <c r="I150">
        <v>40</v>
      </c>
      <c r="J150" s="6">
        <v>40</v>
      </c>
      <c r="K150">
        <v>0</v>
      </c>
      <c r="L150" t="b">
        <v>0</v>
      </c>
      <c r="M150">
        <v>0.9</v>
      </c>
      <c r="N150" s="1">
        <v>0.9</v>
      </c>
      <c r="O150" t="s">
        <v>1020</v>
      </c>
      <c r="P150" t="s">
        <v>1038</v>
      </c>
      <c r="Q150">
        <v>1</v>
      </c>
      <c r="R150">
        <v>2</v>
      </c>
    </row>
    <row r="151" spans="1:18" x14ac:dyDescent="0.25">
      <c r="A151" t="s">
        <v>328</v>
      </c>
      <c r="B151" t="s">
        <v>327</v>
      </c>
      <c r="C151" t="s">
        <v>18</v>
      </c>
      <c r="D151">
        <v>37</v>
      </c>
      <c r="E151" t="s">
        <v>1056</v>
      </c>
      <c r="F151" t="s">
        <v>1057</v>
      </c>
      <c r="G151" t="s">
        <v>1037</v>
      </c>
      <c r="H151">
        <v>15</v>
      </c>
      <c r="I151" t="s">
        <v>24</v>
      </c>
      <c r="J151" s="6">
        <v>40</v>
      </c>
      <c r="K151">
        <v>2.9</v>
      </c>
      <c r="L151" t="b">
        <v>0</v>
      </c>
      <c r="N151" s="1">
        <v>0.78</v>
      </c>
      <c r="O151" t="s">
        <v>1042</v>
      </c>
      <c r="P151" t="s">
        <v>1038</v>
      </c>
      <c r="Q151">
        <v>6</v>
      </c>
      <c r="R151">
        <v>8</v>
      </c>
    </row>
    <row r="152" spans="1:18" x14ac:dyDescent="0.25">
      <c r="A152" t="s">
        <v>330</v>
      </c>
      <c r="B152" t="s">
        <v>329</v>
      </c>
      <c r="C152" t="s">
        <v>41</v>
      </c>
      <c r="D152">
        <v>41</v>
      </c>
      <c r="E152" t="s">
        <v>1039</v>
      </c>
      <c r="F152" t="s">
        <v>1040</v>
      </c>
      <c r="G152" t="s">
        <v>1037</v>
      </c>
      <c r="H152">
        <v>10</v>
      </c>
      <c r="I152" t="s">
        <v>35</v>
      </c>
      <c r="J152" s="6">
        <v>40</v>
      </c>
      <c r="K152">
        <v>0</v>
      </c>
      <c r="L152" t="b">
        <v>0</v>
      </c>
      <c r="N152" s="1">
        <v>0.78</v>
      </c>
      <c r="O152" t="s">
        <v>1042</v>
      </c>
      <c r="P152" t="s">
        <v>1021</v>
      </c>
      <c r="Q152">
        <v>6</v>
      </c>
      <c r="R152">
        <v>2</v>
      </c>
    </row>
    <row r="153" spans="1:18" x14ac:dyDescent="0.25">
      <c r="A153" t="s">
        <v>332</v>
      </c>
      <c r="B153" t="s">
        <v>331</v>
      </c>
      <c r="C153" t="s">
        <v>41</v>
      </c>
      <c r="D153">
        <v>29</v>
      </c>
      <c r="E153" t="s">
        <v>1068</v>
      </c>
      <c r="F153" t="s">
        <v>1044</v>
      </c>
      <c r="G153" t="s">
        <v>1037</v>
      </c>
      <c r="H153">
        <v>11</v>
      </c>
      <c r="I153">
        <v>20</v>
      </c>
      <c r="J153" s="6">
        <v>20</v>
      </c>
      <c r="K153">
        <v>2.7</v>
      </c>
      <c r="L153" t="b">
        <v>0</v>
      </c>
      <c r="M153">
        <v>0.93</v>
      </c>
      <c r="N153" s="1">
        <v>0.93</v>
      </c>
      <c r="O153" t="s">
        <v>1041</v>
      </c>
      <c r="P153" t="s">
        <v>1028</v>
      </c>
      <c r="Q153">
        <v>13</v>
      </c>
      <c r="R153">
        <v>7</v>
      </c>
    </row>
    <row r="154" spans="1:18" x14ac:dyDescent="0.25">
      <c r="A154" t="s">
        <v>334</v>
      </c>
      <c r="B154" t="s">
        <v>333</v>
      </c>
      <c r="C154" t="s">
        <v>18</v>
      </c>
      <c r="D154">
        <v>55</v>
      </c>
      <c r="E154" t="s">
        <v>1043</v>
      </c>
      <c r="F154" t="s">
        <v>1044</v>
      </c>
      <c r="G154" t="s">
        <v>1024</v>
      </c>
      <c r="H154">
        <v>12</v>
      </c>
      <c r="I154">
        <v>100</v>
      </c>
      <c r="J154" s="6">
        <v>100</v>
      </c>
      <c r="K154">
        <v>1.8</v>
      </c>
      <c r="L154" t="b">
        <v>1</v>
      </c>
      <c r="N154" s="1">
        <v>0.78</v>
      </c>
      <c r="O154" t="s">
        <v>1042</v>
      </c>
      <c r="P154" t="s">
        <v>1028</v>
      </c>
      <c r="Q154">
        <v>11</v>
      </c>
      <c r="R154">
        <v>3</v>
      </c>
    </row>
    <row r="155" spans="1:18" x14ac:dyDescent="0.25">
      <c r="A155" t="s">
        <v>336</v>
      </c>
      <c r="B155" t="s">
        <v>335</v>
      </c>
      <c r="C155" t="s">
        <v>18</v>
      </c>
      <c r="D155">
        <v>38</v>
      </c>
      <c r="E155" t="s">
        <v>1048</v>
      </c>
      <c r="F155" t="s">
        <v>1049</v>
      </c>
      <c r="G155" t="s">
        <v>1050</v>
      </c>
      <c r="H155">
        <v>20</v>
      </c>
      <c r="I155" t="s">
        <v>119</v>
      </c>
      <c r="J155" s="6">
        <v>75</v>
      </c>
      <c r="K155">
        <v>1.1000000000000001</v>
      </c>
      <c r="L155" t="b">
        <v>0</v>
      </c>
      <c r="M155">
        <v>0.71</v>
      </c>
      <c r="N155" s="1">
        <v>0.71</v>
      </c>
      <c r="O155" t="s">
        <v>1042</v>
      </c>
      <c r="P155" t="s">
        <v>1038</v>
      </c>
      <c r="Q155">
        <v>19</v>
      </c>
      <c r="R155">
        <v>7</v>
      </c>
    </row>
    <row r="156" spans="1:18" x14ac:dyDescent="0.25">
      <c r="A156" t="s">
        <v>338</v>
      </c>
      <c r="B156" t="s">
        <v>337</v>
      </c>
      <c r="C156" t="s">
        <v>41</v>
      </c>
      <c r="D156">
        <v>47</v>
      </c>
      <c r="E156" t="s">
        <v>1047</v>
      </c>
      <c r="F156" t="s">
        <v>1055</v>
      </c>
      <c r="G156" t="s">
        <v>1050</v>
      </c>
      <c r="H156">
        <v>29</v>
      </c>
      <c r="I156" t="s">
        <v>24</v>
      </c>
      <c r="J156" s="6">
        <v>40</v>
      </c>
      <c r="K156">
        <v>4.3</v>
      </c>
      <c r="L156" t="b">
        <v>1</v>
      </c>
      <c r="M156">
        <v>0.95</v>
      </c>
      <c r="N156" s="1">
        <v>0.95</v>
      </c>
      <c r="O156" t="s">
        <v>1020</v>
      </c>
      <c r="P156" t="s">
        <v>1028</v>
      </c>
      <c r="Q156">
        <v>11</v>
      </c>
      <c r="R156">
        <v>8</v>
      </c>
    </row>
    <row r="157" spans="1:18" x14ac:dyDescent="0.25">
      <c r="A157" t="s">
        <v>340</v>
      </c>
      <c r="B157" t="s">
        <v>339</v>
      </c>
      <c r="C157" t="s">
        <v>41</v>
      </c>
      <c r="D157">
        <v>60</v>
      </c>
      <c r="E157" t="s">
        <v>1053</v>
      </c>
      <c r="F157" t="s">
        <v>1054</v>
      </c>
      <c r="G157" t="s">
        <v>1029</v>
      </c>
      <c r="H157">
        <v>15</v>
      </c>
      <c r="I157">
        <v>100</v>
      </c>
      <c r="J157" s="6">
        <v>100</v>
      </c>
      <c r="K157">
        <v>1.5</v>
      </c>
      <c r="L157" t="b">
        <v>0</v>
      </c>
      <c r="M157">
        <v>80</v>
      </c>
      <c r="N157" s="1">
        <v>0.8</v>
      </c>
      <c r="O157" t="s">
        <v>1034</v>
      </c>
      <c r="P157" t="s">
        <v>1028</v>
      </c>
      <c r="Q157">
        <v>8</v>
      </c>
      <c r="R157">
        <v>14</v>
      </c>
    </row>
    <row r="158" spans="1:18" x14ac:dyDescent="0.25">
      <c r="A158" t="s">
        <v>342</v>
      </c>
      <c r="B158" t="s">
        <v>341</v>
      </c>
      <c r="C158" t="s">
        <v>18</v>
      </c>
      <c r="D158">
        <v>43</v>
      </c>
      <c r="E158" t="s">
        <v>1017</v>
      </c>
      <c r="F158" t="s">
        <v>1018</v>
      </c>
      <c r="G158" t="s">
        <v>1037</v>
      </c>
      <c r="H158">
        <v>9</v>
      </c>
      <c r="I158" t="s">
        <v>80</v>
      </c>
      <c r="J158" s="6">
        <v>20</v>
      </c>
      <c r="K158">
        <v>2.2000000000000002</v>
      </c>
      <c r="L158" t="b">
        <v>0</v>
      </c>
      <c r="N158" s="1">
        <v>0.78</v>
      </c>
      <c r="O158" t="s">
        <v>1041</v>
      </c>
      <c r="P158" t="s">
        <v>1038</v>
      </c>
      <c r="Q158">
        <v>12</v>
      </c>
      <c r="R158">
        <v>5</v>
      </c>
    </row>
    <row r="159" spans="1:18" x14ac:dyDescent="0.25">
      <c r="A159" t="s">
        <v>344</v>
      </c>
      <c r="B159" t="s">
        <v>343</v>
      </c>
      <c r="C159" t="s">
        <v>41</v>
      </c>
      <c r="D159">
        <v>56</v>
      </c>
      <c r="E159" t="s">
        <v>1063</v>
      </c>
      <c r="F159" t="s">
        <v>1064</v>
      </c>
      <c r="G159" t="s">
        <v>1037</v>
      </c>
      <c r="H159">
        <v>10</v>
      </c>
      <c r="I159">
        <v>100</v>
      </c>
      <c r="J159" s="6">
        <v>100</v>
      </c>
      <c r="K159">
        <v>3.2</v>
      </c>
      <c r="L159" t="b">
        <v>0</v>
      </c>
      <c r="M159">
        <v>0.62</v>
      </c>
      <c r="N159" s="1">
        <v>0.62</v>
      </c>
      <c r="O159" t="s">
        <v>1041</v>
      </c>
      <c r="P159" t="s">
        <v>1038</v>
      </c>
      <c r="Q159">
        <v>4</v>
      </c>
      <c r="R159">
        <v>1</v>
      </c>
    </row>
    <row r="160" spans="1:18" x14ac:dyDescent="0.25">
      <c r="A160" t="s">
        <v>346</v>
      </c>
      <c r="B160" t="s">
        <v>345</v>
      </c>
      <c r="C160" t="s">
        <v>41</v>
      </c>
      <c r="D160">
        <v>42</v>
      </c>
      <c r="E160" t="s">
        <v>1056</v>
      </c>
      <c r="F160" t="s">
        <v>1057</v>
      </c>
      <c r="G160" t="s">
        <v>1050</v>
      </c>
      <c r="H160">
        <v>2</v>
      </c>
      <c r="I160" t="s">
        <v>42</v>
      </c>
      <c r="J160" s="6">
        <v>50</v>
      </c>
      <c r="K160">
        <v>1.9</v>
      </c>
      <c r="L160" t="b">
        <v>0</v>
      </c>
      <c r="M160">
        <v>0.95</v>
      </c>
      <c r="N160" s="1">
        <v>0.95</v>
      </c>
      <c r="O160" t="s">
        <v>1020</v>
      </c>
      <c r="P160" t="s">
        <v>1025</v>
      </c>
      <c r="Q160">
        <v>2</v>
      </c>
      <c r="R160">
        <v>3</v>
      </c>
    </row>
    <row r="161" spans="1:18" x14ac:dyDescent="0.25">
      <c r="A161" t="s">
        <v>348</v>
      </c>
      <c r="B161" t="s">
        <v>347</v>
      </c>
      <c r="C161" t="s">
        <v>18</v>
      </c>
      <c r="D161">
        <v>20</v>
      </c>
      <c r="E161" t="s">
        <v>1068</v>
      </c>
      <c r="F161" t="s">
        <v>1044</v>
      </c>
      <c r="G161" t="s">
        <v>1027</v>
      </c>
      <c r="H161">
        <v>0</v>
      </c>
      <c r="I161">
        <v>40</v>
      </c>
      <c r="J161" s="6">
        <v>40</v>
      </c>
      <c r="K161">
        <v>2.4</v>
      </c>
      <c r="L161" t="b">
        <v>0</v>
      </c>
      <c r="M161">
        <v>0.79</v>
      </c>
      <c r="N161" s="1">
        <v>0.79</v>
      </c>
      <c r="O161" t="s">
        <v>1020</v>
      </c>
      <c r="P161" t="s">
        <v>1028</v>
      </c>
      <c r="Q161">
        <v>4</v>
      </c>
      <c r="R161">
        <v>2</v>
      </c>
    </row>
    <row r="162" spans="1:18" x14ac:dyDescent="0.25">
      <c r="A162" t="s">
        <v>350</v>
      </c>
      <c r="B162" t="s">
        <v>349</v>
      </c>
      <c r="C162" t="s">
        <v>18</v>
      </c>
      <c r="D162">
        <v>47</v>
      </c>
      <c r="E162" t="s">
        <v>1035</v>
      </c>
      <c r="F162" t="s">
        <v>1036</v>
      </c>
      <c r="G162" t="s">
        <v>1045</v>
      </c>
      <c r="H162">
        <v>12</v>
      </c>
      <c r="I162">
        <v>40</v>
      </c>
      <c r="J162" s="6">
        <v>40</v>
      </c>
      <c r="K162">
        <v>4.5</v>
      </c>
      <c r="L162" t="b">
        <v>0</v>
      </c>
      <c r="M162">
        <v>0.62</v>
      </c>
      <c r="N162" s="1">
        <v>0.62</v>
      </c>
      <c r="O162" t="s">
        <v>1042</v>
      </c>
      <c r="P162" t="s">
        <v>1021</v>
      </c>
      <c r="Q162">
        <v>15</v>
      </c>
      <c r="R162">
        <v>10</v>
      </c>
    </row>
    <row r="163" spans="1:18" x14ac:dyDescent="0.25">
      <c r="A163" t="s">
        <v>352</v>
      </c>
      <c r="B163" t="s">
        <v>351</v>
      </c>
      <c r="C163" t="s">
        <v>41</v>
      </c>
      <c r="D163">
        <v>41</v>
      </c>
      <c r="E163" t="s">
        <v>1043</v>
      </c>
      <c r="F163" t="s">
        <v>1044</v>
      </c>
      <c r="G163" t="s">
        <v>1037</v>
      </c>
      <c r="H163">
        <v>12</v>
      </c>
      <c r="I163" t="s">
        <v>29</v>
      </c>
      <c r="J163" s="6">
        <v>30</v>
      </c>
      <c r="K163">
        <v>4.0999999999999996</v>
      </c>
      <c r="L163" t="b">
        <v>0</v>
      </c>
      <c r="M163">
        <v>0.68</v>
      </c>
      <c r="N163" s="1">
        <v>0.68</v>
      </c>
      <c r="O163" t="s">
        <v>1041</v>
      </c>
      <c r="P163" t="s">
        <v>1038</v>
      </c>
      <c r="Q163">
        <v>15</v>
      </c>
      <c r="R163">
        <v>11</v>
      </c>
    </row>
    <row r="164" spans="1:18" x14ac:dyDescent="0.25">
      <c r="A164" t="s">
        <v>354</v>
      </c>
      <c r="B164" t="s">
        <v>353</v>
      </c>
      <c r="C164" t="s">
        <v>41</v>
      </c>
      <c r="D164">
        <v>56</v>
      </c>
      <c r="E164" t="s">
        <v>1035</v>
      </c>
      <c r="F164" t="s">
        <v>1036</v>
      </c>
      <c r="G164" t="s">
        <v>1050</v>
      </c>
      <c r="H164">
        <v>15</v>
      </c>
      <c r="I164" t="s">
        <v>32</v>
      </c>
      <c r="J164" s="6">
        <v>75</v>
      </c>
      <c r="K164">
        <v>0</v>
      </c>
      <c r="L164" t="b">
        <v>0</v>
      </c>
      <c r="N164" s="1">
        <v>0.78</v>
      </c>
      <c r="O164" t="s">
        <v>1034</v>
      </c>
      <c r="P164" t="s">
        <v>1025</v>
      </c>
      <c r="Q164">
        <v>9</v>
      </c>
      <c r="R164">
        <v>9</v>
      </c>
    </row>
    <row r="165" spans="1:18" x14ac:dyDescent="0.25">
      <c r="A165" t="s">
        <v>356</v>
      </c>
      <c r="B165" t="s">
        <v>355</v>
      </c>
      <c r="C165" t="s">
        <v>41</v>
      </c>
      <c r="D165">
        <v>59</v>
      </c>
      <c r="E165" t="s">
        <v>45</v>
      </c>
      <c r="F165" t="s">
        <v>1023</v>
      </c>
      <c r="G165" t="s">
        <v>1050</v>
      </c>
      <c r="H165">
        <v>29</v>
      </c>
      <c r="I165" t="s">
        <v>32</v>
      </c>
      <c r="J165" s="6">
        <v>75</v>
      </c>
      <c r="K165">
        <v>2.4</v>
      </c>
      <c r="L165" t="b">
        <v>0</v>
      </c>
      <c r="M165">
        <v>0.8</v>
      </c>
      <c r="N165" s="1">
        <v>0.8</v>
      </c>
      <c r="O165" t="s">
        <v>1020</v>
      </c>
      <c r="P165" t="s">
        <v>1021</v>
      </c>
      <c r="Q165">
        <v>19</v>
      </c>
      <c r="R165">
        <v>7</v>
      </c>
    </row>
    <row r="166" spans="1:18" x14ac:dyDescent="0.25">
      <c r="A166" t="s">
        <v>358</v>
      </c>
      <c r="B166" t="s">
        <v>357</v>
      </c>
      <c r="C166" t="s">
        <v>41</v>
      </c>
      <c r="D166">
        <v>56</v>
      </c>
      <c r="E166" t="s">
        <v>1048</v>
      </c>
      <c r="F166" t="s">
        <v>1049</v>
      </c>
      <c r="G166" t="s">
        <v>1046</v>
      </c>
      <c r="H166">
        <v>15</v>
      </c>
      <c r="I166">
        <v>40</v>
      </c>
      <c r="J166" s="6">
        <v>40</v>
      </c>
      <c r="K166">
        <v>3.7</v>
      </c>
      <c r="L166" t="b">
        <v>0</v>
      </c>
      <c r="M166">
        <v>0.92</v>
      </c>
      <c r="N166" s="1">
        <v>0.92</v>
      </c>
      <c r="O166" t="s">
        <v>1034</v>
      </c>
      <c r="P166" t="s">
        <v>1028</v>
      </c>
      <c r="Q166">
        <v>14</v>
      </c>
      <c r="R166">
        <v>9</v>
      </c>
    </row>
    <row r="167" spans="1:18" x14ac:dyDescent="0.25">
      <c r="A167" t="s">
        <v>360</v>
      </c>
      <c r="B167" t="s">
        <v>359</v>
      </c>
      <c r="C167" t="s">
        <v>18</v>
      </c>
      <c r="D167">
        <v>31</v>
      </c>
      <c r="E167" t="s">
        <v>1063</v>
      </c>
      <c r="F167" t="s">
        <v>1064</v>
      </c>
      <c r="G167" t="s">
        <v>1029</v>
      </c>
      <c r="H167">
        <v>10</v>
      </c>
      <c r="I167" t="s">
        <v>32</v>
      </c>
      <c r="J167" s="6">
        <v>75</v>
      </c>
      <c r="K167">
        <v>1.3</v>
      </c>
      <c r="L167" t="b">
        <v>1</v>
      </c>
      <c r="M167">
        <v>0.65</v>
      </c>
      <c r="N167" s="1">
        <v>0.65</v>
      </c>
      <c r="O167" t="s">
        <v>1034</v>
      </c>
      <c r="P167" t="s">
        <v>1025</v>
      </c>
      <c r="Q167">
        <v>1</v>
      </c>
      <c r="R167">
        <v>1</v>
      </c>
    </row>
    <row r="168" spans="1:18" x14ac:dyDescent="0.25">
      <c r="A168" t="s">
        <v>362</v>
      </c>
      <c r="B168" t="s">
        <v>361</v>
      </c>
      <c r="C168" t="s">
        <v>41</v>
      </c>
      <c r="D168">
        <v>60</v>
      </c>
      <c r="E168" t="s">
        <v>1047</v>
      </c>
      <c r="F168" t="s">
        <v>1055</v>
      </c>
      <c r="G168" t="s">
        <v>1024</v>
      </c>
      <c r="H168">
        <v>33</v>
      </c>
      <c r="I168">
        <v>40</v>
      </c>
      <c r="J168" s="6">
        <v>40</v>
      </c>
      <c r="K168">
        <v>3.6</v>
      </c>
      <c r="L168" t="b">
        <v>1</v>
      </c>
      <c r="M168">
        <v>0.87</v>
      </c>
      <c r="N168" s="1">
        <v>0.87</v>
      </c>
      <c r="O168" t="s">
        <v>1041</v>
      </c>
      <c r="P168" t="s">
        <v>1038</v>
      </c>
      <c r="Q168">
        <v>13</v>
      </c>
      <c r="R168">
        <v>10</v>
      </c>
    </row>
    <row r="169" spans="1:18" x14ac:dyDescent="0.25">
      <c r="A169" t="s">
        <v>364</v>
      </c>
      <c r="B169" t="s">
        <v>363</v>
      </c>
      <c r="C169" t="s">
        <v>18</v>
      </c>
      <c r="D169">
        <v>31</v>
      </c>
      <c r="E169" t="s">
        <v>1058</v>
      </c>
      <c r="F169" t="s">
        <v>1023</v>
      </c>
      <c r="G169" t="s">
        <v>1029</v>
      </c>
      <c r="H169">
        <v>10</v>
      </c>
      <c r="I169">
        <v>75</v>
      </c>
      <c r="J169" s="6">
        <v>75</v>
      </c>
      <c r="K169">
        <v>0</v>
      </c>
      <c r="L169" t="b">
        <v>0</v>
      </c>
      <c r="M169">
        <v>0.7</v>
      </c>
      <c r="N169" s="1">
        <v>0.7</v>
      </c>
      <c r="O169" t="s">
        <v>1041</v>
      </c>
      <c r="P169" t="s">
        <v>1021</v>
      </c>
      <c r="Q169">
        <v>11</v>
      </c>
      <c r="R169">
        <v>9</v>
      </c>
    </row>
    <row r="170" spans="1:18" x14ac:dyDescent="0.25">
      <c r="A170" t="s">
        <v>366</v>
      </c>
      <c r="B170" t="s">
        <v>365</v>
      </c>
      <c r="C170" t="s">
        <v>41</v>
      </c>
      <c r="D170">
        <v>60</v>
      </c>
      <c r="E170" t="s">
        <v>1043</v>
      </c>
      <c r="F170" t="s">
        <v>1044</v>
      </c>
      <c r="G170" t="s">
        <v>1046</v>
      </c>
      <c r="H170">
        <v>20</v>
      </c>
      <c r="I170">
        <v>40</v>
      </c>
      <c r="J170" s="6">
        <v>40</v>
      </c>
      <c r="K170">
        <v>1.4</v>
      </c>
      <c r="L170" t="b">
        <v>0</v>
      </c>
      <c r="M170">
        <v>87</v>
      </c>
      <c r="N170" s="1">
        <v>0.87</v>
      </c>
      <c r="O170" t="s">
        <v>1020</v>
      </c>
      <c r="P170" t="s">
        <v>1038</v>
      </c>
      <c r="Q170">
        <v>18</v>
      </c>
      <c r="R170">
        <v>17</v>
      </c>
    </row>
    <row r="171" spans="1:18" x14ac:dyDescent="0.25">
      <c r="A171" t="s">
        <v>368</v>
      </c>
      <c r="B171" t="s">
        <v>367</v>
      </c>
      <c r="C171" t="s">
        <v>41</v>
      </c>
      <c r="D171">
        <v>46</v>
      </c>
      <c r="E171" t="s">
        <v>1059</v>
      </c>
      <c r="F171" t="s">
        <v>1060</v>
      </c>
      <c r="G171" t="s">
        <v>1050</v>
      </c>
      <c r="H171">
        <v>23</v>
      </c>
      <c r="I171">
        <v>20</v>
      </c>
      <c r="J171" s="6">
        <v>20</v>
      </c>
      <c r="K171">
        <v>2.9</v>
      </c>
      <c r="L171" t="b">
        <v>0</v>
      </c>
      <c r="M171">
        <v>0.72</v>
      </c>
      <c r="N171" s="1">
        <v>0.72</v>
      </c>
      <c r="O171" t="s">
        <v>1041</v>
      </c>
      <c r="P171" t="s">
        <v>1028</v>
      </c>
      <c r="Q171">
        <v>19</v>
      </c>
      <c r="R171">
        <v>5</v>
      </c>
    </row>
    <row r="172" spans="1:18" x14ac:dyDescent="0.25">
      <c r="A172" t="s">
        <v>370</v>
      </c>
      <c r="B172" t="s">
        <v>369</v>
      </c>
      <c r="C172" t="s">
        <v>18</v>
      </c>
      <c r="D172">
        <v>41</v>
      </c>
      <c r="E172" t="s">
        <v>1032</v>
      </c>
      <c r="F172" t="s">
        <v>1033</v>
      </c>
      <c r="G172" t="s">
        <v>1019</v>
      </c>
      <c r="H172">
        <v>10</v>
      </c>
      <c r="I172">
        <v>40</v>
      </c>
      <c r="J172" s="6">
        <v>40</v>
      </c>
      <c r="K172">
        <v>2.8</v>
      </c>
      <c r="L172" t="b">
        <v>0</v>
      </c>
      <c r="M172">
        <v>0.8</v>
      </c>
      <c r="N172" s="1">
        <v>0.8</v>
      </c>
      <c r="O172" t="s">
        <v>1041</v>
      </c>
      <c r="P172" t="s">
        <v>1021</v>
      </c>
      <c r="Q172">
        <v>4</v>
      </c>
      <c r="R172">
        <v>1</v>
      </c>
    </row>
    <row r="173" spans="1:18" x14ac:dyDescent="0.25">
      <c r="A173" t="s">
        <v>372</v>
      </c>
      <c r="B173" t="s">
        <v>371</v>
      </c>
      <c r="C173" t="s">
        <v>41</v>
      </c>
      <c r="D173">
        <v>34</v>
      </c>
      <c r="E173" t="s">
        <v>1048</v>
      </c>
      <c r="F173" t="s">
        <v>1049</v>
      </c>
      <c r="G173" t="s">
        <v>1045</v>
      </c>
      <c r="H173">
        <v>0</v>
      </c>
      <c r="I173">
        <v>20</v>
      </c>
      <c r="J173" s="6">
        <v>20</v>
      </c>
      <c r="K173">
        <v>1.7</v>
      </c>
      <c r="L173" t="b">
        <v>0</v>
      </c>
      <c r="M173">
        <v>0.66</v>
      </c>
      <c r="N173" s="1">
        <v>0.66</v>
      </c>
      <c r="O173" t="s">
        <v>1041</v>
      </c>
      <c r="P173" t="s">
        <v>1028</v>
      </c>
      <c r="Q173">
        <v>1</v>
      </c>
      <c r="R173">
        <v>3</v>
      </c>
    </row>
    <row r="174" spans="1:18" x14ac:dyDescent="0.25">
      <c r="A174" t="s">
        <v>374</v>
      </c>
      <c r="B174" t="s">
        <v>373</v>
      </c>
      <c r="C174" t="s">
        <v>18</v>
      </c>
      <c r="D174">
        <v>42</v>
      </c>
      <c r="E174" t="s">
        <v>1032</v>
      </c>
      <c r="F174" t="s">
        <v>1033</v>
      </c>
      <c r="G174" t="s">
        <v>1027</v>
      </c>
      <c r="H174">
        <v>7</v>
      </c>
      <c r="I174" t="s">
        <v>35</v>
      </c>
      <c r="J174" s="6">
        <v>40</v>
      </c>
      <c r="K174">
        <v>0</v>
      </c>
      <c r="L174" t="b">
        <v>1</v>
      </c>
      <c r="N174" s="1">
        <v>0.78</v>
      </c>
      <c r="O174" t="s">
        <v>1034</v>
      </c>
      <c r="P174" t="s">
        <v>1028</v>
      </c>
      <c r="Q174">
        <v>14</v>
      </c>
      <c r="R174">
        <v>5</v>
      </c>
    </row>
    <row r="175" spans="1:18" x14ac:dyDescent="0.25">
      <c r="A175" t="s">
        <v>376</v>
      </c>
      <c r="B175" t="s">
        <v>375</v>
      </c>
      <c r="C175" t="s">
        <v>41</v>
      </c>
      <c r="D175">
        <v>31</v>
      </c>
      <c r="E175" t="s">
        <v>45</v>
      </c>
      <c r="F175" t="s">
        <v>1023</v>
      </c>
      <c r="G175" t="s">
        <v>1037</v>
      </c>
      <c r="H175">
        <v>4</v>
      </c>
      <c r="I175" t="s">
        <v>32</v>
      </c>
      <c r="J175" s="6">
        <v>75</v>
      </c>
      <c r="K175">
        <v>1.1000000000000001</v>
      </c>
      <c r="L175" t="b">
        <v>1</v>
      </c>
      <c r="M175">
        <v>0.64</v>
      </c>
      <c r="N175" s="1">
        <v>0.64</v>
      </c>
      <c r="O175" t="s">
        <v>1020</v>
      </c>
      <c r="P175" t="s">
        <v>1025</v>
      </c>
      <c r="Q175">
        <v>4</v>
      </c>
      <c r="R175">
        <v>2</v>
      </c>
    </row>
    <row r="176" spans="1:18" x14ac:dyDescent="0.25">
      <c r="A176" t="s">
        <v>378</v>
      </c>
      <c r="B176" t="s">
        <v>377</v>
      </c>
      <c r="C176" t="s">
        <v>41</v>
      </c>
      <c r="D176">
        <v>29</v>
      </c>
      <c r="E176" t="s">
        <v>1053</v>
      </c>
      <c r="F176" t="s">
        <v>1054</v>
      </c>
      <c r="G176" t="s">
        <v>1045</v>
      </c>
      <c r="H176">
        <v>9</v>
      </c>
      <c r="I176">
        <v>20</v>
      </c>
      <c r="J176" s="6">
        <v>20</v>
      </c>
      <c r="K176">
        <v>2.4</v>
      </c>
      <c r="L176" t="b">
        <v>0</v>
      </c>
      <c r="M176">
        <v>0.68</v>
      </c>
      <c r="N176" s="1">
        <v>0.68</v>
      </c>
      <c r="O176" t="s">
        <v>1042</v>
      </c>
      <c r="P176" t="s">
        <v>1038</v>
      </c>
      <c r="Q176">
        <v>11</v>
      </c>
      <c r="R176">
        <v>5</v>
      </c>
    </row>
    <row r="177" spans="1:18" x14ac:dyDescent="0.25">
      <c r="A177" t="s">
        <v>380</v>
      </c>
      <c r="B177" t="s">
        <v>379</v>
      </c>
      <c r="C177" t="s">
        <v>18</v>
      </c>
      <c r="D177">
        <v>57</v>
      </c>
      <c r="E177" t="s">
        <v>1022</v>
      </c>
      <c r="F177" t="s">
        <v>1023</v>
      </c>
      <c r="G177" t="s">
        <v>1027</v>
      </c>
      <c r="H177">
        <v>17</v>
      </c>
      <c r="I177">
        <v>20</v>
      </c>
      <c r="J177" s="6">
        <v>20</v>
      </c>
      <c r="K177">
        <v>3.6</v>
      </c>
      <c r="L177" t="b">
        <v>0</v>
      </c>
      <c r="M177">
        <v>0.63</v>
      </c>
      <c r="N177" s="1">
        <v>0.63</v>
      </c>
      <c r="O177" t="s">
        <v>1034</v>
      </c>
      <c r="P177" t="s">
        <v>1021</v>
      </c>
      <c r="Q177">
        <v>10</v>
      </c>
      <c r="R177">
        <v>4</v>
      </c>
    </row>
    <row r="178" spans="1:18" x14ac:dyDescent="0.25">
      <c r="A178" t="s">
        <v>382</v>
      </c>
      <c r="B178" t="s">
        <v>381</v>
      </c>
      <c r="C178" t="s">
        <v>41</v>
      </c>
      <c r="D178">
        <v>47</v>
      </c>
      <c r="E178" t="s">
        <v>1051</v>
      </c>
      <c r="F178" t="s">
        <v>1052</v>
      </c>
      <c r="G178" t="s">
        <v>1050</v>
      </c>
      <c r="H178">
        <v>8</v>
      </c>
      <c r="I178">
        <v>20</v>
      </c>
      <c r="J178" s="6">
        <v>20</v>
      </c>
      <c r="K178">
        <v>4.5</v>
      </c>
      <c r="L178" t="b">
        <v>1</v>
      </c>
      <c r="M178">
        <v>0.72</v>
      </c>
      <c r="N178" s="1">
        <v>0.72</v>
      </c>
      <c r="O178" t="s">
        <v>1041</v>
      </c>
      <c r="P178" t="s">
        <v>1028</v>
      </c>
      <c r="Q178">
        <v>12</v>
      </c>
      <c r="R178">
        <v>10</v>
      </c>
    </row>
    <row r="179" spans="1:18" x14ac:dyDescent="0.25">
      <c r="A179" t="s">
        <v>384</v>
      </c>
      <c r="B179" t="s">
        <v>383</v>
      </c>
      <c r="C179" t="s">
        <v>41</v>
      </c>
      <c r="D179">
        <v>47</v>
      </c>
      <c r="E179" t="s">
        <v>1063</v>
      </c>
      <c r="F179" t="s">
        <v>1064</v>
      </c>
      <c r="G179" t="s">
        <v>28</v>
      </c>
      <c r="H179">
        <v>14</v>
      </c>
      <c r="I179" t="s">
        <v>29</v>
      </c>
      <c r="J179" s="6">
        <v>30</v>
      </c>
      <c r="K179">
        <v>0</v>
      </c>
      <c r="L179" t="b">
        <v>1</v>
      </c>
      <c r="M179">
        <v>0.86</v>
      </c>
      <c r="N179" s="1">
        <v>0.86</v>
      </c>
      <c r="O179" t="s">
        <v>1034</v>
      </c>
      <c r="P179" t="s">
        <v>1028</v>
      </c>
      <c r="Q179">
        <v>14</v>
      </c>
      <c r="R179">
        <v>3</v>
      </c>
    </row>
    <row r="180" spans="1:18" x14ac:dyDescent="0.25">
      <c r="A180" t="s">
        <v>386</v>
      </c>
      <c r="B180" t="s">
        <v>385</v>
      </c>
      <c r="C180" t="s">
        <v>18</v>
      </c>
      <c r="D180">
        <v>45</v>
      </c>
      <c r="E180" t="s">
        <v>1059</v>
      </c>
      <c r="F180" t="s">
        <v>1060</v>
      </c>
      <c r="G180" t="s">
        <v>1027</v>
      </c>
      <c r="H180">
        <v>21</v>
      </c>
      <c r="I180" t="s">
        <v>71</v>
      </c>
      <c r="J180" s="6">
        <v>30</v>
      </c>
      <c r="K180">
        <v>1.5</v>
      </c>
      <c r="L180" t="b">
        <v>1</v>
      </c>
      <c r="M180">
        <v>0.73</v>
      </c>
      <c r="N180" s="1">
        <v>0.73</v>
      </c>
      <c r="O180" t="s">
        <v>1041</v>
      </c>
      <c r="P180" t="s">
        <v>1021</v>
      </c>
      <c r="Q180">
        <v>15</v>
      </c>
      <c r="R180">
        <v>17</v>
      </c>
    </row>
    <row r="181" spans="1:18" x14ac:dyDescent="0.25">
      <c r="A181" t="s">
        <v>388</v>
      </c>
      <c r="B181" t="s">
        <v>387</v>
      </c>
      <c r="C181" t="s">
        <v>41</v>
      </c>
      <c r="D181">
        <v>24</v>
      </c>
      <c r="E181" t="s">
        <v>1039</v>
      </c>
      <c r="F181" t="s">
        <v>1040</v>
      </c>
      <c r="G181" t="s">
        <v>1031</v>
      </c>
      <c r="H181">
        <v>1</v>
      </c>
      <c r="I181" t="s">
        <v>29</v>
      </c>
      <c r="J181" s="6">
        <v>30</v>
      </c>
      <c r="K181">
        <v>3.7</v>
      </c>
      <c r="L181" t="b">
        <v>0</v>
      </c>
      <c r="M181">
        <v>0.95</v>
      </c>
      <c r="N181" s="1">
        <v>0.95</v>
      </c>
      <c r="O181" t="s">
        <v>1041</v>
      </c>
      <c r="P181" t="s">
        <v>1028</v>
      </c>
      <c r="Q181">
        <v>3</v>
      </c>
      <c r="R181">
        <v>1</v>
      </c>
    </row>
    <row r="182" spans="1:18" x14ac:dyDescent="0.25">
      <c r="A182" t="s">
        <v>390</v>
      </c>
      <c r="B182" t="s">
        <v>389</v>
      </c>
      <c r="C182" t="s">
        <v>18</v>
      </c>
      <c r="D182">
        <v>31</v>
      </c>
      <c r="E182" t="s">
        <v>1043</v>
      </c>
      <c r="F182" t="s">
        <v>1044</v>
      </c>
      <c r="G182" t="s">
        <v>1024</v>
      </c>
      <c r="H182">
        <v>12</v>
      </c>
      <c r="I182">
        <v>20</v>
      </c>
      <c r="J182" s="6">
        <v>20</v>
      </c>
      <c r="K182">
        <v>2.2999999999999998</v>
      </c>
      <c r="L182" t="b">
        <v>0</v>
      </c>
      <c r="M182">
        <v>0.9</v>
      </c>
      <c r="N182" s="1">
        <v>0.9</v>
      </c>
      <c r="O182" t="s">
        <v>1034</v>
      </c>
      <c r="P182" t="s">
        <v>1025</v>
      </c>
      <c r="Q182">
        <v>11</v>
      </c>
      <c r="R182">
        <v>6</v>
      </c>
    </row>
    <row r="183" spans="1:18" x14ac:dyDescent="0.25">
      <c r="A183" t="s">
        <v>392</v>
      </c>
      <c r="B183" t="s">
        <v>391</v>
      </c>
      <c r="C183" t="s">
        <v>18</v>
      </c>
      <c r="D183">
        <v>20</v>
      </c>
      <c r="E183" t="s">
        <v>1067</v>
      </c>
      <c r="F183" t="s">
        <v>1044</v>
      </c>
      <c r="G183" t="s">
        <v>1027</v>
      </c>
      <c r="H183">
        <v>2</v>
      </c>
      <c r="I183" t="s">
        <v>80</v>
      </c>
      <c r="J183" s="6">
        <v>20</v>
      </c>
      <c r="K183">
        <v>2.8</v>
      </c>
      <c r="L183" t="b">
        <v>0</v>
      </c>
      <c r="M183">
        <v>0.78</v>
      </c>
      <c r="N183" s="1">
        <v>0.78</v>
      </c>
      <c r="O183" t="s">
        <v>1020</v>
      </c>
      <c r="P183" t="s">
        <v>1025</v>
      </c>
      <c r="Q183">
        <v>5</v>
      </c>
      <c r="R183">
        <v>1</v>
      </c>
    </row>
    <row r="184" spans="1:18" x14ac:dyDescent="0.25">
      <c r="A184" t="s">
        <v>394</v>
      </c>
      <c r="B184" t="s">
        <v>393</v>
      </c>
      <c r="C184" t="s">
        <v>41</v>
      </c>
      <c r="D184">
        <v>38</v>
      </c>
      <c r="E184" t="s">
        <v>1048</v>
      </c>
      <c r="F184" t="s">
        <v>1049</v>
      </c>
      <c r="G184" t="s">
        <v>1029</v>
      </c>
      <c r="H184">
        <v>3</v>
      </c>
      <c r="I184">
        <v>30</v>
      </c>
      <c r="J184" s="6">
        <v>30</v>
      </c>
      <c r="K184">
        <v>3.5</v>
      </c>
      <c r="L184" t="b">
        <v>0</v>
      </c>
      <c r="M184">
        <v>0.97</v>
      </c>
      <c r="N184" s="1">
        <v>0.97</v>
      </c>
      <c r="O184" t="s">
        <v>1041</v>
      </c>
      <c r="P184" t="s">
        <v>1025</v>
      </c>
      <c r="Q184">
        <v>3</v>
      </c>
      <c r="R184">
        <v>1</v>
      </c>
    </row>
    <row r="185" spans="1:18" x14ac:dyDescent="0.25">
      <c r="A185" t="s">
        <v>396</v>
      </c>
      <c r="B185" t="s">
        <v>395</v>
      </c>
      <c r="C185" t="s">
        <v>18</v>
      </c>
      <c r="D185">
        <v>33</v>
      </c>
      <c r="E185" t="s">
        <v>1026</v>
      </c>
      <c r="F185" t="s">
        <v>1026</v>
      </c>
      <c r="G185" t="s">
        <v>1045</v>
      </c>
      <c r="H185">
        <v>11</v>
      </c>
      <c r="J185" s="6">
        <v>70</v>
      </c>
      <c r="K185">
        <v>0</v>
      </c>
      <c r="L185" t="b">
        <v>1</v>
      </c>
      <c r="M185">
        <v>0.65</v>
      </c>
      <c r="N185" s="1">
        <v>0.65</v>
      </c>
      <c r="O185" t="s">
        <v>1020</v>
      </c>
      <c r="P185" t="s">
        <v>1025</v>
      </c>
      <c r="Q185">
        <v>12</v>
      </c>
      <c r="R185">
        <v>7</v>
      </c>
    </row>
    <row r="186" spans="1:18" x14ac:dyDescent="0.25">
      <c r="A186" t="s">
        <v>398</v>
      </c>
      <c r="B186" t="s">
        <v>397</v>
      </c>
      <c r="C186" t="s">
        <v>18</v>
      </c>
      <c r="D186">
        <v>31</v>
      </c>
      <c r="E186" t="s">
        <v>1022</v>
      </c>
      <c r="F186" t="s">
        <v>1023</v>
      </c>
      <c r="G186" t="s">
        <v>1029</v>
      </c>
      <c r="H186">
        <v>4</v>
      </c>
      <c r="I186">
        <v>40</v>
      </c>
      <c r="J186" s="6">
        <v>40</v>
      </c>
      <c r="K186">
        <v>3.2</v>
      </c>
      <c r="L186" t="b">
        <v>1</v>
      </c>
      <c r="M186">
        <v>0.78</v>
      </c>
      <c r="N186" s="1">
        <v>0.78</v>
      </c>
      <c r="O186" t="s">
        <v>1042</v>
      </c>
      <c r="P186" t="s">
        <v>1028</v>
      </c>
      <c r="Q186">
        <v>4</v>
      </c>
      <c r="R186">
        <v>1</v>
      </c>
    </row>
    <row r="187" spans="1:18" x14ac:dyDescent="0.25">
      <c r="A187" t="s">
        <v>400</v>
      </c>
      <c r="B187" t="s">
        <v>399</v>
      </c>
      <c r="C187" t="s">
        <v>41</v>
      </c>
      <c r="D187">
        <v>41</v>
      </c>
      <c r="E187" t="s">
        <v>1068</v>
      </c>
      <c r="F187" t="s">
        <v>1044</v>
      </c>
      <c r="G187" t="s">
        <v>1031</v>
      </c>
      <c r="H187">
        <v>21</v>
      </c>
      <c r="I187">
        <v>50</v>
      </c>
      <c r="J187" s="6">
        <v>50</v>
      </c>
      <c r="K187">
        <v>3.3</v>
      </c>
      <c r="L187" t="b">
        <v>1</v>
      </c>
      <c r="M187">
        <v>0.65</v>
      </c>
      <c r="N187" s="1">
        <v>0.65</v>
      </c>
      <c r="O187" t="s">
        <v>1041</v>
      </c>
      <c r="P187" t="s">
        <v>1021</v>
      </c>
      <c r="Q187">
        <v>20</v>
      </c>
      <c r="R187">
        <v>4</v>
      </c>
    </row>
    <row r="188" spans="1:18" x14ac:dyDescent="0.25">
      <c r="A188" t="s">
        <v>402</v>
      </c>
      <c r="B188" t="s">
        <v>401</v>
      </c>
      <c r="C188" t="s">
        <v>41</v>
      </c>
      <c r="D188">
        <v>54</v>
      </c>
      <c r="E188" t="s">
        <v>1039</v>
      </c>
      <c r="F188" t="s">
        <v>1040</v>
      </c>
      <c r="G188" t="s">
        <v>1029</v>
      </c>
      <c r="H188">
        <v>0</v>
      </c>
      <c r="I188" t="s">
        <v>80</v>
      </c>
      <c r="J188" s="6">
        <v>20</v>
      </c>
      <c r="K188">
        <v>4.9000000000000004</v>
      </c>
      <c r="L188" t="b">
        <v>0</v>
      </c>
      <c r="N188" s="1">
        <v>0.78</v>
      </c>
      <c r="O188" t="s">
        <v>1020</v>
      </c>
      <c r="P188" t="s">
        <v>1021</v>
      </c>
      <c r="Q188">
        <v>2</v>
      </c>
      <c r="R188">
        <v>4</v>
      </c>
    </row>
    <row r="189" spans="1:18" x14ac:dyDescent="0.25">
      <c r="A189" t="s">
        <v>404</v>
      </c>
      <c r="B189" t="s">
        <v>403</v>
      </c>
      <c r="C189" t="s">
        <v>41</v>
      </c>
      <c r="D189">
        <v>50</v>
      </c>
      <c r="E189" t="s">
        <v>1067</v>
      </c>
      <c r="F189" t="s">
        <v>1044</v>
      </c>
      <c r="G189" t="s">
        <v>1037</v>
      </c>
      <c r="H189">
        <v>6</v>
      </c>
      <c r="I189">
        <v>30</v>
      </c>
      <c r="J189" s="6">
        <v>30</v>
      </c>
      <c r="K189">
        <v>2.2000000000000002</v>
      </c>
      <c r="L189" t="b">
        <v>1</v>
      </c>
      <c r="M189">
        <v>0.95</v>
      </c>
      <c r="N189" s="1">
        <v>0.95</v>
      </c>
      <c r="O189" t="s">
        <v>1020</v>
      </c>
      <c r="P189" t="s">
        <v>1021</v>
      </c>
      <c r="Q189">
        <v>13</v>
      </c>
      <c r="R189">
        <v>2</v>
      </c>
    </row>
    <row r="190" spans="1:18" x14ac:dyDescent="0.25">
      <c r="A190" t="s">
        <v>406</v>
      </c>
      <c r="B190" t="s">
        <v>405</v>
      </c>
      <c r="C190" t="s">
        <v>41</v>
      </c>
      <c r="D190">
        <v>48</v>
      </c>
      <c r="E190" t="s">
        <v>1053</v>
      </c>
      <c r="F190" t="s">
        <v>1054</v>
      </c>
      <c r="G190" t="s">
        <v>1031</v>
      </c>
      <c r="H190">
        <v>18</v>
      </c>
      <c r="I190" t="s">
        <v>35</v>
      </c>
      <c r="J190" s="6">
        <v>40</v>
      </c>
      <c r="K190">
        <v>2.4</v>
      </c>
      <c r="L190" t="b">
        <v>1</v>
      </c>
      <c r="M190">
        <v>0.88</v>
      </c>
      <c r="N190" s="1">
        <v>0.88</v>
      </c>
      <c r="O190" t="s">
        <v>1042</v>
      </c>
      <c r="P190" t="s">
        <v>1021</v>
      </c>
      <c r="Q190">
        <v>14</v>
      </c>
      <c r="R190">
        <v>2</v>
      </c>
    </row>
    <row r="191" spans="1:18" x14ac:dyDescent="0.25">
      <c r="A191" t="s">
        <v>408</v>
      </c>
      <c r="B191" t="s">
        <v>407</v>
      </c>
      <c r="C191" t="s">
        <v>18</v>
      </c>
      <c r="D191">
        <v>49</v>
      </c>
      <c r="E191" t="s">
        <v>1067</v>
      </c>
      <c r="F191" t="s">
        <v>1044</v>
      </c>
      <c r="G191" t="s">
        <v>1027</v>
      </c>
      <c r="H191">
        <v>10</v>
      </c>
      <c r="J191" s="6">
        <v>70</v>
      </c>
      <c r="K191">
        <v>1.8</v>
      </c>
      <c r="L191" t="b">
        <v>0</v>
      </c>
      <c r="N191" s="1">
        <v>0.78</v>
      </c>
      <c r="O191" t="s">
        <v>1020</v>
      </c>
      <c r="P191" t="s">
        <v>1038</v>
      </c>
      <c r="Q191">
        <v>5</v>
      </c>
      <c r="R191">
        <v>5</v>
      </c>
    </row>
    <row r="192" spans="1:18" x14ac:dyDescent="0.25">
      <c r="A192" t="s">
        <v>410</v>
      </c>
      <c r="B192" t="s">
        <v>409</v>
      </c>
      <c r="C192" t="s">
        <v>41</v>
      </c>
      <c r="D192">
        <v>21</v>
      </c>
      <c r="E192" t="s">
        <v>1047</v>
      </c>
      <c r="F192" t="s">
        <v>1055</v>
      </c>
      <c r="G192" t="s">
        <v>1027</v>
      </c>
      <c r="H192">
        <v>1</v>
      </c>
      <c r="I192">
        <v>75</v>
      </c>
      <c r="J192" s="6">
        <v>75</v>
      </c>
      <c r="K192">
        <v>4.5999999999999996</v>
      </c>
      <c r="L192" t="b">
        <v>0</v>
      </c>
      <c r="M192">
        <v>0.92</v>
      </c>
      <c r="N192" s="1">
        <v>0.92</v>
      </c>
      <c r="O192" t="s">
        <v>1020</v>
      </c>
      <c r="P192" t="s">
        <v>1021</v>
      </c>
      <c r="Q192">
        <v>2</v>
      </c>
      <c r="R192">
        <v>1</v>
      </c>
    </row>
    <row r="193" spans="1:18" x14ac:dyDescent="0.25">
      <c r="A193" t="s">
        <v>412</v>
      </c>
      <c r="B193" t="s">
        <v>411</v>
      </c>
      <c r="C193" t="s">
        <v>41</v>
      </c>
      <c r="D193">
        <v>58</v>
      </c>
      <c r="E193" t="s">
        <v>1022</v>
      </c>
      <c r="F193" t="s">
        <v>1023</v>
      </c>
      <c r="G193" t="s">
        <v>1027</v>
      </c>
      <c r="H193">
        <v>20</v>
      </c>
      <c r="I193">
        <v>75</v>
      </c>
      <c r="J193" s="6">
        <v>75</v>
      </c>
      <c r="K193">
        <v>2.8</v>
      </c>
      <c r="L193" t="b">
        <v>0</v>
      </c>
      <c r="M193">
        <v>0.75</v>
      </c>
      <c r="N193" s="1">
        <v>0.75</v>
      </c>
      <c r="O193" t="s">
        <v>1042</v>
      </c>
      <c r="P193" t="s">
        <v>1038</v>
      </c>
      <c r="Q193">
        <v>13</v>
      </c>
      <c r="R193">
        <v>1</v>
      </c>
    </row>
    <row r="194" spans="1:18" x14ac:dyDescent="0.25">
      <c r="A194" t="s">
        <v>208</v>
      </c>
      <c r="B194" t="s">
        <v>413</v>
      </c>
      <c r="C194" t="s">
        <v>41</v>
      </c>
      <c r="D194">
        <v>41</v>
      </c>
      <c r="E194" t="s">
        <v>1017</v>
      </c>
      <c r="F194" t="s">
        <v>1018</v>
      </c>
      <c r="G194" t="s">
        <v>1050</v>
      </c>
      <c r="H194">
        <v>10</v>
      </c>
      <c r="I194" t="s">
        <v>29</v>
      </c>
      <c r="J194" s="6">
        <v>30</v>
      </c>
      <c r="K194">
        <v>1.4</v>
      </c>
      <c r="L194" t="b">
        <v>0</v>
      </c>
      <c r="M194">
        <v>0.74</v>
      </c>
      <c r="N194" s="1">
        <v>0.74</v>
      </c>
      <c r="O194" t="s">
        <v>1041</v>
      </c>
      <c r="P194" t="s">
        <v>1038</v>
      </c>
      <c r="Q194">
        <v>2</v>
      </c>
      <c r="R194">
        <v>4</v>
      </c>
    </row>
    <row r="195" spans="1:18" x14ac:dyDescent="0.25">
      <c r="A195" t="s">
        <v>415</v>
      </c>
      <c r="B195" t="s">
        <v>414</v>
      </c>
      <c r="C195" t="s">
        <v>18</v>
      </c>
      <c r="D195">
        <v>58</v>
      </c>
      <c r="E195" t="s">
        <v>1056</v>
      </c>
      <c r="F195" t="s">
        <v>1057</v>
      </c>
      <c r="G195" t="s">
        <v>1019</v>
      </c>
      <c r="H195">
        <v>25</v>
      </c>
      <c r="I195" t="s">
        <v>29</v>
      </c>
      <c r="J195" s="6">
        <v>30</v>
      </c>
      <c r="K195">
        <v>4.2</v>
      </c>
      <c r="L195" t="b">
        <v>1</v>
      </c>
      <c r="M195">
        <v>0.71</v>
      </c>
      <c r="N195" s="1">
        <v>0.71</v>
      </c>
      <c r="O195" t="s">
        <v>1020</v>
      </c>
      <c r="P195" t="s">
        <v>1025</v>
      </c>
      <c r="Q195">
        <v>11</v>
      </c>
      <c r="R195">
        <v>13</v>
      </c>
    </row>
    <row r="196" spans="1:18" x14ac:dyDescent="0.25">
      <c r="A196" t="s">
        <v>417</v>
      </c>
      <c r="B196" t="s">
        <v>416</v>
      </c>
      <c r="C196" t="s">
        <v>18</v>
      </c>
      <c r="D196">
        <v>50</v>
      </c>
      <c r="E196" t="s">
        <v>1063</v>
      </c>
      <c r="F196" t="s">
        <v>1064</v>
      </c>
      <c r="G196" t="s">
        <v>1027</v>
      </c>
      <c r="H196">
        <v>20</v>
      </c>
      <c r="I196" t="s">
        <v>35</v>
      </c>
      <c r="J196" s="6">
        <v>40</v>
      </c>
      <c r="K196">
        <v>3.6</v>
      </c>
      <c r="L196" t="b">
        <v>1</v>
      </c>
      <c r="M196">
        <v>0.89</v>
      </c>
      <c r="N196" s="1">
        <v>0.89</v>
      </c>
      <c r="O196" t="s">
        <v>1020</v>
      </c>
      <c r="P196" t="s">
        <v>1038</v>
      </c>
      <c r="Q196">
        <v>17</v>
      </c>
      <c r="R196">
        <v>2</v>
      </c>
    </row>
    <row r="197" spans="1:18" x14ac:dyDescent="0.25">
      <c r="A197" t="s">
        <v>419</v>
      </c>
      <c r="B197" t="s">
        <v>418</v>
      </c>
      <c r="C197" t="s">
        <v>41</v>
      </c>
      <c r="D197">
        <v>52</v>
      </c>
      <c r="E197" t="s">
        <v>1035</v>
      </c>
      <c r="F197" t="s">
        <v>1036</v>
      </c>
      <c r="G197" t="s">
        <v>1029</v>
      </c>
      <c r="H197">
        <v>33</v>
      </c>
      <c r="I197" t="s">
        <v>174</v>
      </c>
      <c r="J197" s="6">
        <v>100</v>
      </c>
      <c r="K197">
        <v>1.6</v>
      </c>
      <c r="L197" t="b">
        <v>0</v>
      </c>
      <c r="M197">
        <v>0.66</v>
      </c>
      <c r="N197" s="1">
        <v>0.66</v>
      </c>
      <c r="O197" t="s">
        <v>1020</v>
      </c>
      <c r="P197" t="s">
        <v>1028</v>
      </c>
      <c r="Q197">
        <v>14</v>
      </c>
      <c r="R197">
        <v>17</v>
      </c>
    </row>
    <row r="198" spans="1:18" x14ac:dyDescent="0.25">
      <c r="A198" t="s">
        <v>421</v>
      </c>
      <c r="B198" t="s">
        <v>420</v>
      </c>
      <c r="C198" t="s">
        <v>41</v>
      </c>
      <c r="D198">
        <v>34</v>
      </c>
      <c r="E198" t="s">
        <v>1032</v>
      </c>
      <c r="F198" t="s">
        <v>1033</v>
      </c>
      <c r="G198" t="s">
        <v>1037</v>
      </c>
      <c r="H198">
        <v>6</v>
      </c>
      <c r="I198" t="s">
        <v>174</v>
      </c>
      <c r="J198" s="6">
        <v>100</v>
      </c>
      <c r="K198">
        <v>2</v>
      </c>
      <c r="L198" t="b">
        <v>0</v>
      </c>
      <c r="N198" s="1">
        <v>0.78</v>
      </c>
      <c r="O198" t="s">
        <v>1034</v>
      </c>
      <c r="P198" t="s">
        <v>1038</v>
      </c>
      <c r="Q198">
        <v>13</v>
      </c>
      <c r="R198">
        <v>1</v>
      </c>
    </row>
    <row r="199" spans="1:18" x14ac:dyDescent="0.25">
      <c r="A199" t="s">
        <v>423</v>
      </c>
      <c r="B199" t="s">
        <v>422</v>
      </c>
      <c r="C199" t="s">
        <v>41</v>
      </c>
      <c r="D199">
        <v>32</v>
      </c>
      <c r="E199" t="s">
        <v>1059</v>
      </c>
      <c r="F199" t="s">
        <v>1060</v>
      </c>
      <c r="G199" t="s">
        <v>1031</v>
      </c>
      <c r="H199">
        <v>11</v>
      </c>
      <c r="I199">
        <v>40</v>
      </c>
      <c r="J199" s="6">
        <v>40</v>
      </c>
      <c r="K199">
        <v>4.3</v>
      </c>
      <c r="L199" t="b">
        <v>1</v>
      </c>
      <c r="M199">
        <v>0.86</v>
      </c>
      <c r="N199" s="1">
        <v>0.86</v>
      </c>
      <c r="O199" t="s">
        <v>1042</v>
      </c>
      <c r="P199" t="s">
        <v>1025</v>
      </c>
      <c r="Q199">
        <v>9</v>
      </c>
      <c r="R199">
        <v>2</v>
      </c>
    </row>
    <row r="200" spans="1:18" x14ac:dyDescent="0.25">
      <c r="A200" t="s">
        <v>425</v>
      </c>
      <c r="B200" t="s">
        <v>424</v>
      </c>
      <c r="C200" t="s">
        <v>18</v>
      </c>
      <c r="D200">
        <v>50</v>
      </c>
      <c r="E200" t="s">
        <v>1051</v>
      </c>
      <c r="F200" t="s">
        <v>1052</v>
      </c>
      <c r="G200" t="s">
        <v>1027</v>
      </c>
      <c r="H200">
        <v>28</v>
      </c>
      <c r="I200" t="s">
        <v>174</v>
      </c>
      <c r="J200" s="6">
        <v>100</v>
      </c>
      <c r="K200">
        <v>4.9000000000000004</v>
      </c>
      <c r="L200" t="b">
        <v>1</v>
      </c>
      <c r="M200">
        <v>0.86</v>
      </c>
      <c r="N200" s="1">
        <v>0.86</v>
      </c>
      <c r="O200" t="s">
        <v>1034</v>
      </c>
      <c r="P200" t="s">
        <v>1038</v>
      </c>
      <c r="Q200">
        <v>12</v>
      </c>
      <c r="R200">
        <v>3</v>
      </c>
    </row>
    <row r="201" spans="1:18" x14ac:dyDescent="0.25">
      <c r="A201" t="s">
        <v>427</v>
      </c>
      <c r="B201" t="s">
        <v>426</v>
      </c>
      <c r="C201" t="s">
        <v>18</v>
      </c>
      <c r="D201">
        <v>39</v>
      </c>
      <c r="E201" t="s">
        <v>1043</v>
      </c>
      <c r="F201" t="s">
        <v>1044</v>
      </c>
      <c r="G201" t="s">
        <v>1037</v>
      </c>
      <c r="H201">
        <v>11</v>
      </c>
      <c r="I201">
        <v>100</v>
      </c>
      <c r="J201" s="6">
        <v>100</v>
      </c>
      <c r="K201">
        <v>3.5</v>
      </c>
      <c r="L201" t="b">
        <v>1</v>
      </c>
      <c r="M201">
        <v>0.82</v>
      </c>
      <c r="N201" s="1">
        <v>0.82</v>
      </c>
      <c r="O201" t="s">
        <v>1042</v>
      </c>
      <c r="P201" t="s">
        <v>1028</v>
      </c>
      <c r="Q201">
        <v>12</v>
      </c>
      <c r="R201">
        <v>2</v>
      </c>
    </row>
    <row r="202" spans="1:18" x14ac:dyDescent="0.25">
      <c r="A202" t="s">
        <v>429</v>
      </c>
      <c r="B202" t="s">
        <v>428</v>
      </c>
      <c r="C202" t="s">
        <v>18</v>
      </c>
      <c r="D202">
        <v>25</v>
      </c>
      <c r="E202" t="s">
        <v>1068</v>
      </c>
      <c r="F202" t="s">
        <v>1044</v>
      </c>
      <c r="G202" t="s">
        <v>28</v>
      </c>
      <c r="H202">
        <v>2</v>
      </c>
      <c r="I202">
        <v>100</v>
      </c>
      <c r="J202" s="6">
        <v>100</v>
      </c>
      <c r="K202">
        <v>2.4</v>
      </c>
      <c r="L202" t="b">
        <v>0</v>
      </c>
      <c r="M202">
        <v>87</v>
      </c>
      <c r="N202" s="1">
        <v>0.87</v>
      </c>
      <c r="O202" t="s">
        <v>1041</v>
      </c>
      <c r="P202" t="s">
        <v>1028</v>
      </c>
      <c r="Q202">
        <v>1</v>
      </c>
      <c r="R202">
        <v>1</v>
      </c>
    </row>
    <row r="203" spans="1:18" x14ac:dyDescent="0.25">
      <c r="A203" t="s">
        <v>431</v>
      </c>
      <c r="B203" t="s">
        <v>430</v>
      </c>
      <c r="C203" t="s">
        <v>18</v>
      </c>
      <c r="D203">
        <v>55</v>
      </c>
      <c r="E203" t="s">
        <v>1065</v>
      </c>
      <c r="F203" t="s">
        <v>1066</v>
      </c>
      <c r="G203" t="s">
        <v>1031</v>
      </c>
      <c r="H203">
        <v>7</v>
      </c>
      <c r="I203">
        <v>100</v>
      </c>
      <c r="J203" s="6">
        <v>100</v>
      </c>
      <c r="K203">
        <v>1.7</v>
      </c>
      <c r="L203" t="b">
        <v>1</v>
      </c>
      <c r="M203">
        <v>0.8</v>
      </c>
      <c r="N203" s="1">
        <v>0.8</v>
      </c>
      <c r="O203" t="s">
        <v>1041</v>
      </c>
      <c r="P203" t="s">
        <v>1028</v>
      </c>
      <c r="Q203">
        <v>14</v>
      </c>
      <c r="R203">
        <v>4</v>
      </c>
    </row>
    <row r="204" spans="1:18" x14ac:dyDescent="0.25">
      <c r="A204" t="s">
        <v>433</v>
      </c>
      <c r="B204" t="s">
        <v>432</v>
      </c>
      <c r="C204" t="s">
        <v>41</v>
      </c>
      <c r="D204">
        <v>42</v>
      </c>
      <c r="E204" t="s">
        <v>1017</v>
      </c>
      <c r="F204" t="s">
        <v>1018</v>
      </c>
      <c r="G204" t="s">
        <v>1050</v>
      </c>
      <c r="H204">
        <v>10</v>
      </c>
      <c r="I204" t="s">
        <v>19</v>
      </c>
      <c r="J204" s="6">
        <v>100</v>
      </c>
      <c r="K204">
        <v>4.5999999999999996</v>
      </c>
      <c r="L204" t="b">
        <v>1</v>
      </c>
      <c r="M204">
        <v>0.71</v>
      </c>
      <c r="N204" s="1">
        <v>0.71</v>
      </c>
      <c r="O204" t="s">
        <v>1020</v>
      </c>
      <c r="P204" t="s">
        <v>1025</v>
      </c>
      <c r="Q204">
        <v>15</v>
      </c>
      <c r="R204">
        <v>10</v>
      </c>
    </row>
    <row r="205" spans="1:18" x14ac:dyDescent="0.25">
      <c r="A205" t="s">
        <v>435</v>
      </c>
      <c r="B205" t="s">
        <v>434</v>
      </c>
      <c r="C205" t="s">
        <v>41</v>
      </c>
      <c r="D205">
        <v>43</v>
      </c>
      <c r="E205" t="s">
        <v>1056</v>
      </c>
      <c r="F205" t="s">
        <v>1057</v>
      </c>
      <c r="G205" t="s">
        <v>1024</v>
      </c>
      <c r="H205">
        <v>6</v>
      </c>
      <c r="I205">
        <v>50</v>
      </c>
      <c r="J205" s="6">
        <v>50</v>
      </c>
      <c r="K205">
        <v>2.4</v>
      </c>
      <c r="L205" t="b">
        <v>0</v>
      </c>
      <c r="M205">
        <v>0.77</v>
      </c>
      <c r="N205" s="1">
        <v>0.77</v>
      </c>
      <c r="O205" t="s">
        <v>1042</v>
      </c>
      <c r="P205" t="s">
        <v>1025</v>
      </c>
      <c r="Q205">
        <v>6</v>
      </c>
      <c r="R205">
        <v>9</v>
      </c>
    </row>
    <row r="206" spans="1:18" x14ac:dyDescent="0.25">
      <c r="A206" t="s">
        <v>437</v>
      </c>
      <c r="B206" t="s">
        <v>436</v>
      </c>
      <c r="C206" t="s">
        <v>41</v>
      </c>
      <c r="D206">
        <v>54</v>
      </c>
      <c r="E206" t="s">
        <v>1017</v>
      </c>
      <c r="F206" t="s">
        <v>1018</v>
      </c>
      <c r="G206" t="s">
        <v>1050</v>
      </c>
      <c r="H206">
        <v>29</v>
      </c>
      <c r="I206" t="s">
        <v>29</v>
      </c>
      <c r="J206" s="6">
        <v>30</v>
      </c>
      <c r="K206">
        <v>1.7</v>
      </c>
      <c r="L206" t="b">
        <v>0</v>
      </c>
      <c r="M206">
        <v>68</v>
      </c>
      <c r="N206" s="1">
        <v>0.68</v>
      </c>
      <c r="O206" t="s">
        <v>1041</v>
      </c>
      <c r="P206" t="s">
        <v>1021</v>
      </c>
      <c r="Q206">
        <v>19</v>
      </c>
      <c r="R206">
        <v>2</v>
      </c>
    </row>
    <row r="207" spans="1:18" x14ac:dyDescent="0.25">
      <c r="A207" t="s">
        <v>439</v>
      </c>
      <c r="B207" t="s">
        <v>438</v>
      </c>
      <c r="C207" t="s">
        <v>18</v>
      </c>
      <c r="D207">
        <v>21</v>
      </c>
      <c r="E207" t="s">
        <v>1061</v>
      </c>
      <c r="F207" t="s">
        <v>1062</v>
      </c>
      <c r="G207" t="s">
        <v>1027</v>
      </c>
      <c r="H207">
        <v>0</v>
      </c>
      <c r="I207">
        <v>20</v>
      </c>
      <c r="J207" s="6">
        <v>20</v>
      </c>
      <c r="K207">
        <v>1.8</v>
      </c>
      <c r="L207" t="b">
        <v>0</v>
      </c>
      <c r="M207">
        <v>0.91</v>
      </c>
      <c r="N207" s="1">
        <v>0.91</v>
      </c>
      <c r="O207" t="s">
        <v>1042</v>
      </c>
      <c r="P207" t="s">
        <v>1025</v>
      </c>
      <c r="Q207">
        <v>4</v>
      </c>
      <c r="R207">
        <v>1</v>
      </c>
    </row>
    <row r="208" spans="1:18" x14ac:dyDescent="0.25">
      <c r="A208" t="s">
        <v>441</v>
      </c>
      <c r="B208" t="s">
        <v>440</v>
      </c>
      <c r="C208" t="s">
        <v>41</v>
      </c>
      <c r="D208">
        <v>46</v>
      </c>
      <c r="E208" t="s">
        <v>1058</v>
      </c>
      <c r="F208" t="s">
        <v>1023</v>
      </c>
      <c r="G208" t="s">
        <v>1045</v>
      </c>
      <c r="H208">
        <v>5</v>
      </c>
      <c r="I208">
        <v>20</v>
      </c>
      <c r="J208" s="6">
        <v>20</v>
      </c>
      <c r="K208">
        <v>2.2000000000000002</v>
      </c>
      <c r="L208" t="b">
        <v>0</v>
      </c>
      <c r="M208">
        <v>0.75</v>
      </c>
      <c r="N208" s="1">
        <v>0.75</v>
      </c>
      <c r="O208" t="s">
        <v>1041</v>
      </c>
      <c r="P208" t="s">
        <v>1028</v>
      </c>
      <c r="Q208">
        <v>1</v>
      </c>
      <c r="R208">
        <v>5</v>
      </c>
    </row>
    <row r="209" spans="1:18" x14ac:dyDescent="0.25">
      <c r="A209" t="s">
        <v>443</v>
      </c>
      <c r="B209" t="s">
        <v>442</v>
      </c>
      <c r="C209" t="s">
        <v>18</v>
      </c>
      <c r="D209">
        <v>30</v>
      </c>
      <c r="E209" t="s">
        <v>1068</v>
      </c>
      <c r="F209" t="s">
        <v>1044</v>
      </c>
      <c r="G209" t="s">
        <v>1019</v>
      </c>
      <c r="H209">
        <v>11</v>
      </c>
      <c r="I209">
        <v>40</v>
      </c>
      <c r="J209" s="6">
        <v>40</v>
      </c>
      <c r="K209">
        <v>1</v>
      </c>
      <c r="L209" t="b">
        <v>0</v>
      </c>
      <c r="M209">
        <v>0.9</v>
      </c>
      <c r="N209" s="1">
        <v>0.9</v>
      </c>
      <c r="O209" t="s">
        <v>1034</v>
      </c>
      <c r="P209" t="s">
        <v>1028</v>
      </c>
      <c r="Q209">
        <v>11</v>
      </c>
      <c r="R209">
        <v>1</v>
      </c>
    </row>
    <row r="210" spans="1:18" x14ac:dyDescent="0.25">
      <c r="A210" t="s">
        <v>445</v>
      </c>
      <c r="B210" t="s">
        <v>444</v>
      </c>
      <c r="C210" t="s">
        <v>41</v>
      </c>
      <c r="D210">
        <v>36</v>
      </c>
      <c r="E210" t="s">
        <v>1065</v>
      </c>
      <c r="F210" t="s">
        <v>1066</v>
      </c>
      <c r="G210" t="s">
        <v>1031</v>
      </c>
      <c r="H210">
        <v>11</v>
      </c>
      <c r="I210" t="s">
        <v>119</v>
      </c>
      <c r="J210" s="6">
        <v>75</v>
      </c>
      <c r="K210">
        <v>3.2</v>
      </c>
      <c r="L210" t="b">
        <v>0</v>
      </c>
      <c r="M210">
        <v>93</v>
      </c>
      <c r="N210" s="1">
        <v>0.93</v>
      </c>
      <c r="O210" t="s">
        <v>1041</v>
      </c>
      <c r="P210" t="s">
        <v>1025</v>
      </c>
      <c r="Q210">
        <v>10</v>
      </c>
      <c r="R210">
        <v>3</v>
      </c>
    </row>
    <row r="211" spans="1:18" x14ac:dyDescent="0.25">
      <c r="A211" t="s">
        <v>447</v>
      </c>
      <c r="B211" t="s">
        <v>446</v>
      </c>
      <c r="C211" t="s">
        <v>18</v>
      </c>
      <c r="D211">
        <v>47</v>
      </c>
      <c r="E211" t="s">
        <v>1026</v>
      </c>
      <c r="F211" t="s">
        <v>1026</v>
      </c>
      <c r="G211" t="s">
        <v>1037</v>
      </c>
      <c r="H211">
        <v>15</v>
      </c>
      <c r="I211">
        <v>40</v>
      </c>
      <c r="J211" s="6">
        <v>40</v>
      </c>
      <c r="K211">
        <v>2.1</v>
      </c>
      <c r="L211" t="b">
        <v>1</v>
      </c>
      <c r="M211">
        <v>0.94</v>
      </c>
      <c r="N211" s="1">
        <v>0.94</v>
      </c>
      <c r="O211" t="s">
        <v>1034</v>
      </c>
      <c r="P211" t="s">
        <v>1038</v>
      </c>
      <c r="Q211">
        <v>8</v>
      </c>
      <c r="R211">
        <v>10</v>
      </c>
    </row>
    <row r="212" spans="1:18" x14ac:dyDescent="0.25">
      <c r="A212" t="s">
        <v>449</v>
      </c>
      <c r="B212" t="s">
        <v>448</v>
      </c>
      <c r="C212" t="s">
        <v>18</v>
      </c>
      <c r="D212">
        <v>43</v>
      </c>
      <c r="E212" t="s">
        <v>1058</v>
      </c>
      <c r="F212" t="s">
        <v>1023</v>
      </c>
      <c r="G212" t="s">
        <v>1024</v>
      </c>
      <c r="H212">
        <v>1</v>
      </c>
      <c r="I212" t="s">
        <v>62</v>
      </c>
      <c r="J212" s="6">
        <v>50</v>
      </c>
      <c r="K212">
        <v>4.5999999999999996</v>
      </c>
      <c r="L212" t="b">
        <v>1</v>
      </c>
      <c r="M212">
        <v>64</v>
      </c>
      <c r="N212" s="1">
        <v>0.64</v>
      </c>
      <c r="O212" t="s">
        <v>1041</v>
      </c>
      <c r="P212" t="s">
        <v>1025</v>
      </c>
      <c r="Q212">
        <v>4</v>
      </c>
      <c r="R212">
        <v>2</v>
      </c>
    </row>
    <row r="213" spans="1:18" x14ac:dyDescent="0.25">
      <c r="A213" t="s">
        <v>451</v>
      </c>
      <c r="B213" t="s">
        <v>450</v>
      </c>
      <c r="C213" t="s">
        <v>41</v>
      </c>
      <c r="D213">
        <v>57</v>
      </c>
      <c r="E213" t="s">
        <v>1047</v>
      </c>
      <c r="F213" t="s">
        <v>1055</v>
      </c>
      <c r="G213" t="s">
        <v>1046</v>
      </c>
      <c r="H213">
        <v>8</v>
      </c>
      <c r="I213" t="s">
        <v>80</v>
      </c>
      <c r="J213" s="6">
        <v>20</v>
      </c>
      <c r="K213">
        <v>0</v>
      </c>
      <c r="L213" t="b">
        <v>1</v>
      </c>
      <c r="M213">
        <v>0.84</v>
      </c>
      <c r="N213" s="1">
        <v>0.84</v>
      </c>
      <c r="O213" t="s">
        <v>1020</v>
      </c>
      <c r="P213" t="s">
        <v>1025</v>
      </c>
      <c r="Q213">
        <v>8</v>
      </c>
      <c r="R213">
        <v>5</v>
      </c>
    </row>
    <row r="214" spans="1:18" x14ac:dyDescent="0.25">
      <c r="A214" t="s">
        <v>453</v>
      </c>
      <c r="B214" t="s">
        <v>452</v>
      </c>
      <c r="C214" t="s">
        <v>41</v>
      </c>
      <c r="D214">
        <v>52</v>
      </c>
      <c r="E214" t="s">
        <v>1017</v>
      </c>
      <c r="F214" t="s">
        <v>1018</v>
      </c>
      <c r="G214" t="s">
        <v>1031</v>
      </c>
      <c r="H214">
        <v>30</v>
      </c>
      <c r="I214" t="s">
        <v>80</v>
      </c>
      <c r="J214" s="6">
        <v>20</v>
      </c>
      <c r="K214">
        <v>2.8</v>
      </c>
      <c r="L214" t="b">
        <v>0</v>
      </c>
      <c r="M214">
        <v>0.87</v>
      </c>
      <c r="N214" s="1">
        <v>0.87</v>
      </c>
      <c r="O214" t="s">
        <v>1034</v>
      </c>
      <c r="P214" t="s">
        <v>1028</v>
      </c>
      <c r="Q214">
        <v>12</v>
      </c>
      <c r="R214">
        <v>5</v>
      </c>
    </row>
    <row r="215" spans="1:18" x14ac:dyDescent="0.25">
      <c r="A215" t="s">
        <v>455</v>
      </c>
      <c r="B215" t="s">
        <v>454</v>
      </c>
      <c r="C215" t="s">
        <v>41</v>
      </c>
      <c r="D215">
        <v>41</v>
      </c>
      <c r="E215" t="s">
        <v>1026</v>
      </c>
      <c r="F215" t="s">
        <v>1026</v>
      </c>
      <c r="G215" t="s">
        <v>1019</v>
      </c>
      <c r="H215">
        <v>8</v>
      </c>
      <c r="I215" t="s">
        <v>24</v>
      </c>
      <c r="J215" s="6">
        <v>40</v>
      </c>
      <c r="K215">
        <v>0</v>
      </c>
      <c r="L215" t="b">
        <v>0</v>
      </c>
      <c r="M215">
        <v>0.64</v>
      </c>
      <c r="N215" s="1">
        <v>0.64</v>
      </c>
      <c r="O215" t="s">
        <v>1041</v>
      </c>
      <c r="P215" t="s">
        <v>1021</v>
      </c>
      <c r="Q215">
        <v>14</v>
      </c>
      <c r="R215">
        <v>4</v>
      </c>
    </row>
    <row r="216" spans="1:18" x14ac:dyDescent="0.25">
      <c r="A216" t="s">
        <v>457</v>
      </c>
      <c r="B216" t="s">
        <v>456</v>
      </c>
      <c r="C216" t="s">
        <v>18</v>
      </c>
      <c r="D216">
        <v>22</v>
      </c>
      <c r="E216" t="s">
        <v>1035</v>
      </c>
      <c r="F216" t="s">
        <v>1036</v>
      </c>
      <c r="G216" t="s">
        <v>1031</v>
      </c>
      <c r="H216">
        <v>0</v>
      </c>
      <c r="I216">
        <v>100</v>
      </c>
      <c r="J216" s="6">
        <v>100</v>
      </c>
      <c r="K216">
        <v>2.7</v>
      </c>
      <c r="L216" t="b">
        <v>1</v>
      </c>
      <c r="M216">
        <v>0.64</v>
      </c>
      <c r="N216" s="1">
        <v>0.64</v>
      </c>
      <c r="O216" t="s">
        <v>1020</v>
      </c>
      <c r="P216" t="s">
        <v>1028</v>
      </c>
      <c r="Q216">
        <v>1</v>
      </c>
      <c r="R216">
        <v>1</v>
      </c>
    </row>
    <row r="217" spans="1:18" x14ac:dyDescent="0.25">
      <c r="A217" t="s">
        <v>459</v>
      </c>
      <c r="B217" t="s">
        <v>458</v>
      </c>
      <c r="C217" t="s">
        <v>41</v>
      </c>
      <c r="D217">
        <v>41</v>
      </c>
      <c r="E217" t="s">
        <v>1051</v>
      </c>
      <c r="F217" t="s">
        <v>1052</v>
      </c>
      <c r="G217" t="s">
        <v>1031</v>
      </c>
      <c r="H217">
        <v>12</v>
      </c>
      <c r="I217" t="s">
        <v>80</v>
      </c>
      <c r="J217" s="6">
        <v>20</v>
      </c>
      <c r="K217">
        <v>0</v>
      </c>
      <c r="L217" t="b">
        <v>1</v>
      </c>
      <c r="M217">
        <v>0.8</v>
      </c>
      <c r="N217" s="1">
        <v>0.8</v>
      </c>
      <c r="O217" t="s">
        <v>1034</v>
      </c>
      <c r="P217" t="s">
        <v>1021</v>
      </c>
      <c r="Q217">
        <v>8</v>
      </c>
      <c r="R217">
        <v>13</v>
      </c>
    </row>
    <row r="218" spans="1:18" x14ac:dyDescent="0.25">
      <c r="A218" t="s">
        <v>461</v>
      </c>
      <c r="B218" t="s">
        <v>460</v>
      </c>
      <c r="C218" t="s">
        <v>18</v>
      </c>
      <c r="D218">
        <v>58</v>
      </c>
      <c r="E218" t="s">
        <v>1068</v>
      </c>
      <c r="F218" t="s">
        <v>1044</v>
      </c>
      <c r="G218" t="s">
        <v>1024</v>
      </c>
      <c r="H218">
        <v>4</v>
      </c>
      <c r="I218" t="s">
        <v>42</v>
      </c>
      <c r="J218" s="6">
        <v>50</v>
      </c>
      <c r="K218">
        <v>3.1</v>
      </c>
      <c r="L218" t="b">
        <v>0</v>
      </c>
      <c r="M218">
        <v>0.9</v>
      </c>
      <c r="N218" s="1">
        <v>0.9</v>
      </c>
      <c r="O218" t="s">
        <v>1020</v>
      </c>
      <c r="P218" t="s">
        <v>1028</v>
      </c>
      <c r="Q218">
        <v>2</v>
      </c>
      <c r="R218">
        <v>1</v>
      </c>
    </row>
    <row r="219" spans="1:18" x14ac:dyDescent="0.25">
      <c r="A219" t="s">
        <v>463</v>
      </c>
      <c r="B219" t="s">
        <v>462</v>
      </c>
      <c r="C219" t="s">
        <v>41</v>
      </c>
      <c r="D219">
        <v>39</v>
      </c>
      <c r="E219" t="s">
        <v>1047</v>
      </c>
      <c r="F219" t="s">
        <v>1055</v>
      </c>
      <c r="G219" t="s">
        <v>1029</v>
      </c>
      <c r="H219">
        <v>14</v>
      </c>
      <c r="I219" t="s">
        <v>19</v>
      </c>
      <c r="J219" s="6">
        <v>100</v>
      </c>
      <c r="K219">
        <v>0</v>
      </c>
      <c r="L219" t="b">
        <v>1</v>
      </c>
      <c r="M219">
        <v>0.92</v>
      </c>
      <c r="N219" s="1">
        <v>0.92</v>
      </c>
      <c r="O219" t="s">
        <v>1042</v>
      </c>
      <c r="P219" t="s">
        <v>1025</v>
      </c>
      <c r="Q219">
        <v>7</v>
      </c>
      <c r="R219">
        <v>9</v>
      </c>
    </row>
    <row r="220" spans="1:18" x14ac:dyDescent="0.25">
      <c r="A220" t="s">
        <v>465</v>
      </c>
      <c r="B220" t="s">
        <v>464</v>
      </c>
      <c r="C220" t="s">
        <v>41</v>
      </c>
      <c r="D220">
        <v>32</v>
      </c>
      <c r="E220" t="s">
        <v>1035</v>
      </c>
      <c r="F220" t="s">
        <v>1036</v>
      </c>
      <c r="G220" t="s">
        <v>1027</v>
      </c>
      <c r="H220">
        <v>14</v>
      </c>
      <c r="J220" s="6">
        <v>70</v>
      </c>
      <c r="K220">
        <v>2.4</v>
      </c>
      <c r="L220" t="b">
        <v>0</v>
      </c>
      <c r="M220">
        <v>0.96</v>
      </c>
      <c r="N220" s="1">
        <v>0.96</v>
      </c>
      <c r="O220" t="s">
        <v>1042</v>
      </c>
      <c r="P220" t="s">
        <v>1028</v>
      </c>
      <c r="Q220">
        <v>14</v>
      </c>
      <c r="R220">
        <v>3</v>
      </c>
    </row>
    <row r="221" spans="1:18" x14ac:dyDescent="0.25">
      <c r="A221" t="s">
        <v>467</v>
      </c>
      <c r="B221" t="s">
        <v>466</v>
      </c>
      <c r="C221" t="s">
        <v>41</v>
      </c>
      <c r="D221">
        <v>37</v>
      </c>
      <c r="E221" t="s">
        <v>1058</v>
      </c>
      <c r="F221" t="s">
        <v>1023</v>
      </c>
      <c r="G221" t="s">
        <v>1045</v>
      </c>
      <c r="H221">
        <v>2</v>
      </c>
      <c r="I221" t="s">
        <v>29</v>
      </c>
      <c r="J221" s="6">
        <v>30</v>
      </c>
      <c r="K221">
        <v>2.2999999999999998</v>
      </c>
      <c r="L221" t="b">
        <v>1</v>
      </c>
      <c r="N221" s="1">
        <v>0.78</v>
      </c>
      <c r="O221" t="s">
        <v>1034</v>
      </c>
      <c r="P221" t="s">
        <v>1028</v>
      </c>
      <c r="Q221">
        <v>4</v>
      </c>
      <c r="R221">
        <v>4</v>
      </c>
    </row>
    <row r="222" spans="1:18" x14ac:dyDescent="0.25">
      <c r="A222" t="s">
        <v>469</v>
      </c>
      <c r="B222" t="s">
        <v>468</v>
      </c>
      <c r="C222" t="s">
        <v>18</v>
      </c>
      <c r="D222">
        <v>21</v>
      </c>
      <c r="E222" t="s">
        <v>1065</v>
      </c>
      <c r="F222" t="s">
        <v>1066</v>
      </c>
      <c r="G222" t="s">
        <v>1046</v>
      </c>
      <c r="H222">
        <v>2</v>
      </c>
      <c r="I222">
        <v>100</v>
      </c>
      <c r="J222" s="6">
        <v>100</v>
      </c>
      <c r="K222">
        <v>2.4</v>
      </c>
      <c r="L222" t="b">
        <v>1</v>
      </c>
      <c r="N222" s="1">
        <v>0.78</v>
      </c>
      <c r="O222" t="s">
        <v>1041</v>
      </c>
      <c r="P222" t="s">
        <v>1028</v>
      </c>
      <c r="Q222">
        <v>3</v>
      </c>
      <c r="R222">
        <v>1</v>
      </c>
    </row>
    <row r="223" spans="1:18" x14ac:dyDescent="0.25">
      <c r="A223" t="s">
        <v>471</v>
      </c>
      <c r="B223" t="s">
        <v>470</v>
      </c>
      <c r="C223" t="s">
        <v>41</v>
      </c>
      <c r="D223">
        <v>41</v>
      </c>
      <c r="E223" t="s">
        <v>1047</v>
      </c>
      <c r="F223" t="s">
        <v>1055</v>
      </c>
      <c r="G223" t="s">
        <v>1031</v>
      </c>
      <c r="H223">
        <v>4</v>
      </c>
      <c r="I223">
        <v>75</v>
      </c>
      <c r="J223" s="6">
        <v>75</v>
      </c>
      <c r="K223">
        <v>2.6</v>
      </c>
      <c r="L223" t="b">
        <v>0</v>
      </c>
      <c r="M223">
        <v>0.85</v>
      </c>
      <c r="N223" s="1">
        <v>0.85</v>
      </c>
      <c r="O223" t="s">
        <v>1034</v>
      </c>
      <c r="P223" t="s">
        <v>1025</v>
      </c>
      <c r="Q223">
        <v>4</v>
      </c>
      <c r="R223">
        <v>1</v>
      </c>
    </row>
    <row r="224" spans="1:18" x14ac:dyDescent="0.25">
      <c r="A224" t="s">
        <v>473</v>
      </c>
      <c r="B224" t="s">
        <v>472</v>
      </c>
      <c r="C224" t="s">
        <v>18</v>
      </c>
      <c r="D224">
        <v>21</v>
      </c>
      <c r="E224" t="s">
        <v>1058</v>
      </c>
      <c r="F224" t="s">
        <v>1023</v>
      </c>
      <c r="G224" t="s">
        <v>28</v>
      </c>
      <c r="H224">
        <v>0</v>
      </c>
      <c r="I224" t="s">
        <v>35</v>
      </c>
      <c r="J224" s="6">
        <v>40</v>
      </c>
      <c r="K224">
        <v>1.1000000000000001</v>
      </c>
      <c r="L224" t="b">
        <v>0</v>
      </c>
      <c r="M224">
        <v>0.79</v>
      </c>
      <c r="N224" s="1">
        <v>0.79</v>
      </c>
      <c r="O224" t="s">
        <v>1020</v>
      </c>
      <c r="P224" t="s">
        <v>1025</v>
      </c>
      <c r="Q224">
        <v>5</v>
      </c>
      <c r="R224">
        <v>2</v>
      </c>
    </row>
    <row r="225" spans="1:18" x14ac:dyDescent="0.25">
      <c r="A225" t="s">
        <v>475</v>
      </c>
      <c r="B225" t="s">
        <v>474</v>
      </c>
      <c r="C225" t="s">
        <v>18</v>
      </c>
      <c r="D225">
        <v>58</v>
      </c>
      <c r="E225" t="s">
        <v>1065</v>
      </c>
      <c r="F225" t="s">
        <v>1066</v>
      </c>
      <c r="G225" t="s">
        <v>1031</v>
      </c>
      <c r="H225">
        <v>9</v>
      </c>
      <c r="I225">
        <v>30</v>
      </c>
      <c r="J225" s="6">
        <v>30</v>
      </c>
      <c r="K225">
        <v>0</v>
      </c>
      <c r="L225" t="b">
        <v>1</v>
      </c>
      <c r="M225">
        <v>0.65</v>
      </c>
      <c r="N225" s="1">
        <v>0.65</v>
      </c>
      <c r="O225" t="s">
        <v>1041</v>
      </c>
      <c r="P225" t="s">
        <v>1025</v>
      </c>
      <c r="Q225">
        <v>15</v>
      </c>
      <c r="R225">
        <v>6</v>
      </c>
    </row>
    <row r="226" spans="1:18" x14ac:dyDescent="0.25">
      <c r="A226" t="s">
        <v>477</v>
      </c>
      <c r="B226" t="s">
        <v>476</v>
      </c>
      <c r="C226" t="s">
        <v>41</v>
      </c>
      <c r="D226">
        <v>60</v>
      </c>
      <c r="E226" t="s">
        <v>1058</v>
      </c>
      <c r="F226" t="s">
        <v>1023</v>
      </c>
      <c r="G226" t="s">
        <v>1031</v>
      </c>
      <c r="H226">
        <v>3</v>
      </c>
      <c r="I226">
        <v>40</v>
      </c>
      <c r="J226" s="6">
        <v>40</v>
      </c>
      <c r="K226">
        <v>4.7</v>
      </c>
      <c r="L226" t="b">
        <v>0</v>
      </c>
      <c r="M226">
        <v>0.63</v>
      </c>
      <c r="N226" s="1">
        <v>0.63</v>
      </c>
      <c r="O226" t="s">
        <v>1042</v>
      </c>
      <c r="P226" t="s">
        <v>1025</v>
      </c>
      <c r="Q226">
        <v>1</v>
      </c>
      <c r="R226">
        <v>5</v>
      </c>
    </row>
    <row r="227" spans="1:18" x14ac:dyDescent="0.25">
      <c r="A227" t="s">
        <v>479</v>
      </c>
      <c r="B227" t="s">
        <v>478</v>
      </c>
      <c r="C227" t="s">
        <v>41</v>
      </c>
      <c r="D227">
        <v>27</v>
      </c>
      <c r="E227" t="s">
        <v>1063</v>
      </c>
      <c r="F227" t="s">
        <v>1064</v>
      </c>
      <c r="G227" t="s">
        <v>1029</v>
      </c>
      <c r="H227">
        <v>2</v>
      </c>
      <c r="I227" t="s">
        <v>24</v>
      </c>
      <c r="J227" s="6">
        <v>40</v>
      </c>
      <c r="K227">
        <v>1.2</v>
      </c>
      <c r="L227" t="b">
        <v>0</v>
      </c>
      <c r="N227" s="1">
        <v>0.78</v>
      </c>
      <c r="O227" t="s">
        <v>1041</v>
      </c>
      <c r="P227" t="s">
        <v>1021</v>
      </c>
      <c r="Q227">
        <v>1</v>
      </c>
      <c r="R227">
        <v>1</v>
      </c>
    </row>
    <row r="228" spans="1:18" x14ac:dyDescent="0.25">
      <c r="A228" t="s">
        <v>481</v>
      </c>
      <c r="B228" t="s">
        <v>480</v>
      </c>
      <c r="C228" t="s">
        <v>18</v>
      </c>
      <c r="D228">
        <v>29</v>
      </c>
      <c r="E228" t="s">
        <v>1026</v>
      </c>
      <c r="F228" t="s">
        <v>1026</v>
      </c>
      <c r="G228" t="s">
        <v>1031</v>
      </c>
      <c r="H228">
        <v>10</v>
      </c>
      <c r="I228" t="s">
        <v>35</v>
      </c>
      <c r="J228" s="6">
        <v>40</v>
      </c>
      <c r="K228">
        <v>1.2</v>
      </c>
      <c r="L228" t="b">
        <v>0</v>
      </c>
      <c r="M228">
        <v>0.78</v>
      </c>
      <c r="N228" s="1">
        <v>0.78</v>
      </c>
      <c r="O228" t="s">
        <v>1042</v>
      </c>
      <c r="P228" t="s">
        <v>1021</v>
      </c>
      <c r="Q228">
        <v>7</v>
      </c>
      <c r="R228">
        <v>6</v>
      </c>
    </row>
    <row r="229" spans="1:18" x14ac:dyDescent="0.25">
      <c r="A229" t="s">
        <v>483</v>
      </c>
      <c r="B229" t="s">
        <v>482</v>
      </c>
      <c r="C229" t="s">
        <v>18</v>
      </c>
      <c r="D229">
        <v>54</v>
      </c>
      <c r="E229" t="s">
        <v>1058</v>
      </c>
      <c r="F229" t="s">
        <v>1023</v>
      </c>
      <c r="G229" t="s">
        <v>1027</v>
      </c>
      <c r="H229">
        <v>33</v>
      </c>
      <c r="I229" t="s">
        <v>119</v>
      </c>
      <c r="J229" s="6">
        <v>75</v>
      </c>
      <c r="K229">
        <v>0</v>
      </c>
      <c r="L229" t="b">
        <v>1</v>
      </c>
      <c r="M229">
        <v>0.62</v>
      </c>
      <c r="N229" s="1">
        <v>0.62</v>
      </c>
      <c r="O229" t="s">
        <v>1041</v>
      </c>
      <c r="P229" t="s">
        <v>1038</v>
      </c>
      <c r="Q229">
        <v>18</v>
      </c>
      <c r="R229">
        <v>9</v>
      </c>
    </row>
    <row r="230" spans="1:18" x14ac:dyDescent="0.25">
      <c r="A230" t="s">
        <v>485</v>
      </c>
      <c r="B230" t="s">
        <v>484</v>
      </c>
      <c r="C230" t="s">
        <v>41</v>
      </c>
      <c r="D230">
        <v>52</v>
      </c>
      <c r="E230" t="s">
        <v>1067</v>
      </c>
      <c r="F230" t="s">
        <v>1044</v>
      </c>
      <c r="G230" t="s">
        <v>1031</v>
      </c>
      <c r="H230">
        <v>12</v>
      </c>
      <c r="I230">
        <v>40</v>
      </c>
      <c r="J230" s="6">
        <v>40</v>
      </c>
      <c r="K230">
        <v>1.2</v>
      </c>
      <c r="L230" t="b">
        <v>0</v>
      </c>
      <c r="M230">
        <v>0.76</v>
      </c>
      <c r="N230" s="1">
        <v>0.76</v>
      </c>
      <c r="O230" t="s">
        <v>1041</v>
      </c>
      <c r="P230" t="s">
        <v>1025</v>
      </c>
      <c r="Q230">
        <v>14</v>
      </c>
      <c r="R230">
        <v>3</v>
      </c>
    </row>
    <row r="231" spans="1:18" x14ac:dyDescent="0.25">
      <c r="A231" t="s">
        <v>487</v>
      </c>
      <c r="B231" t="s">
        <v>486</v>
      </c>
      <c r="C231" t="s">
        <v>18</v>
      </c>
      <c r="D231">
        <v>55</v>
      </c>
      <c r="E231" t="s">
        <v>1035</v>
      </c>
      <c r="F231" t="s">
        <v>1036</v>
      </c>
      <c r="G231" t="s">
        <v>1019</v>
      </c>
      <c r="H231">
        <v>18</v>
      </c>
      <c r="I231">
        <v>100</v>
      </c>
      <c r="J231" s="6">
        <v>100</v>
      </c>
      <c r="K231">
        <v>2.9</v>
      </c>
      <c r="L231" t="b">
        <v>0</v>
      </c>
      <c r="M231">
        <v>97</v>
      </c>
      <c r="N231" s="1">
        <v>0.97</v>
      </c>
      <c r="O231" t="s">
        <v>1041</v>
      </c>
      <c r="P231" t="s">
        <v>1021</v>
      </c>
      <c r="Q231">
        <v>12</v>
      </c>
      <c r="R231">
        <v>9</v>
      </c>
    </row>
    <row r="232" spans="1:18" x14ac:dyDescent="0.25">
      <c r="A232" t="s">
        <v>489</v>
      </c>
      <c r="B232" t="s">
        <v>488</v>
      </c>
      <c r="C232" t="s">
        <v>41</v>
      </c>
      <c r="D232">
        <v>37</v>
      </c>
      <c r="E232" t="s">
        <v>1053</v>
      </c>
      <c r="F232" t="s">
        <v>1054</v>
      </c>
      <c r="G232" t="s">
        <v>1019</v>
      </c>
      <c r="H232">
        <v>4</v>
      </c>
      <c r="J232" s="6">
        <v>70</v>
      </c>
      <c r="K232">
        <v>2.4</v>
      </c>
      <c r="L232" t="b">
        <v>0</v>
      </c>
      <c r="N232" s="1">
        <v>0.78</v>
      </c>
      <c r="O232" t="s">
        <v>1020</v>
      </c>
      <c r="P232" t="s">
        <v>1028</v>
      </c>
      <c r="Q232">
        <v>3</v>
      </c>
      <c r="R232">
        <v>2</v>
      </c>
    </row>
    <row r="233" spans="1:18" x14ac:dyDescent="0.25">
      <c r="A233" t="s">
        <v>491</v>
      </c>
      <c r="B233" t="s">
        <v>490</v>
      </c>
      <c r="C233" t="s">
        <v>18</v>
      </c>
      <c r="D233">
        <v>34</v>
      </c>
      <c r="E233" t="s">
        <v>1061</v>
      </c>
      <c r="F233" t="s">
        <v>1062</v>
      </c>
      <c r="G233" t="s">
        <v>1037</v>
      </c>
      <c r="H233">
        <v>11</v>
      </c>
      <c r="I233" t="s">
        <v>42</v>
      </c>
      <c r="J233" s="6">
        <v>50</v>
      </c>
      <c r="K233">
        <v>3.9</v>
      </c>
      <c r="L233" t="b">
        <v>1</v>
      </c>
      <c r="M233">
        <v>0.82</v>
      </c>
      <c r="N233" s="1">
        <v>0.82</v>
      </c>
      <c r="O233" t="s">
        <v>1020</v>
      </c>
      <c r="P233" t="s">
        <v>1025</v>
      </c>
      <c r="Q233">
        <v>13</v>
      </c>
      <c r="R233">
        <v>2</v>
      </c>
    </row>
    <row r="234" spans="1:18" x14ac:dyDescent="0.25">
      <c r="A234" t="s">
        <v>493</v>
      </c>
      <c r="B234" t="s">
        <v>492</v>
      </c>
      <c r="C234" t="s">
        <v>41</v>
      </c>
      <c r="D234">
        <v>20</v>
      </c>
      <c r="E234" t="s">
        <v>1059</v>
      </c>
      <c r="F234" t="s">
        <v>1060</v>
      </c>
      <c r="G234" t="s">
        <v>1037</v>
      </c>
      <c r="H234">
        <v>1</v>
      </c>
      <c r="I234">
        <v>50</v>
      </c>
      <c r="J234" s="6">
        <v>50</v>
      </c>
      <c r="K234">
        <v>3.1</v>
      </c>
      <c r="L234" t="b">
        <v>0</v>
      </c>
      <c r="M234">
        <v>0.71</v>
      </c>
      <c r="N234" s="1">
        <v>0.71</v>
      </c>
      <c r="O234" t="s">
        <v>1034</v>
      </c>
      <c r="P234" t="s">
        <v>1038</v>
      </c>
      <c r="Q234">
        <v>4</v>
      </c>
      <c r="R234">
        <v>3</v>
      </c>
    </row>
    <row r="235" spans="1:18" x14ac:dyDescent="0.25">
      <c r="A235" t="s">
        <v>495</v>
      </c>
      <c r="B235" t="s">
        <v>494</v>
      </c>
      <c r="C235" t="s">
        <v>41</v>
      </c>
      <c r="D235">
        <v>22</v>
      </c>
      <c r="E235" t="s">
        <v>1067</v>
      </c>
      <c r="F235" t="s">
        <v>1044</v>
      </c>
      <c r="G235" t="s">
        <v>1045</v>
      </c>
      <c r="H235">
        <v>2</v>
      </c>
      <c r="J235" s="6">
        <v>70</v>
      </c>
      <c r="K235">
        <v>0</v>
      </c>
      <c r="L235" t="b">
        <v>1</v>
      </c>
      <c r="N235" s="1">
        <v>0.78</v>
      </c>
      <c r="O235" t="s">
        <v>1034</v>
      </c>
      <c r="P235" t="s">
        <v>1038</v>
      </c>
      <c r="Q235">
        <v>5</v>
      </c>
      <c r="R235">
        <v>1</v>
      </c>
    </row>
    <row r="236" spans="1:18" x14ac:dyDescent="0.25">
      <c r="A236" t="s">
        <v>497</v>
      </c>
      <c r="B236" t="s">
        <v>496</v>
      </c>
      <c r="C236" t="s">
        <v>18</v>
      </c>
      <c r="D236">
        <v>23</v>
      </c>
      <c r="E236" t="s">
        <v>1047</v>
      </c>
      <c r="F236" t="s">
        <v>1055</v>
      </c>
      <c r="G236" t="s">
        <v>1027</v>
      </c>
      <c r="H236">
        <v>2</v>
      </c>
      <c r="I236">
        <v>50</v>
      </c>
      <c r="J236" s="6">
        <v>50</v>
      </c>
      <c r="K236">
        <v>3.2</v>
      </c>
      <c r="L236" t="b">
        <v>1</v>
      </c>
      <c r="N236" s="1">
        <v>0.78</v>
      </c>
      <c r="O236" t="s">
        <v>1042</v>
      </c>
      <c r="P236" t="s">
        <v>1038</v>
      </c>
      <c r="Q236">
        <v>2</v>
      </c>
      <c r="R236">
        <v>1</v>
      </c>
    </row>
    <row r="237" spans="1:18" x14ac:dyDescent="0.25">
      <c r="A237" t="s">
        <v>499</v>
      </c>
      <c r="B237" t="s">
        <v>498</v>
      </c>
      <c r="C237" t="s">
        <v>18</v>
      </c>
      <c r="D237">
        <v>53</v>
      </c>
      <c r="E237" t="s">
        <v>1047</v>
      </c>
      <c r="F237" t="s">
        <v>1055</v>
      </c>
      <c r="G237" t="s">
        <v>1019</v>
      </c>
      <c r="H237">
        <v>34</v>
      </c>
      <c r="I237">
        <v>30</v>
      </c>
      <c r="J237" s="6">
        <v>30</v>
      </c>
      <c r="K237">
        <v>2.4</v>
      </c>
      <c r="L237" t="b">
        <v>1</v>
      </c>
      <c r="N237" s="1">
        <v>0.78</v>
      </c>
      <c r="O237" t="s">
        <v>1020</v>
      </c>
      <c r="P237" t="s">
        <v>1028</v>
      </c>
      <c r="Q237">
        <v>14</v>
      </c>
      <c r="R237">
        <v>9</v>
      </c>
    </row>
    <row r="238" spans="1:18" x14ac:dyDescent="0.25">
      <c r="A238" t="s">
        <v>501</v>
      </c>
      <c r="B238" t="s">
        <v>500</v>
      </c>
      <c r="C238" t="s">
        <v>18</v>
      </c>
      <c r="D238">
        <v>56</v>
      </c>
      <c r="E238" t="s">
        <v>1047</v>
      </c>
      <c r="F238" t="s">
        <v>1055</v>
      </c>
      <c r="G238" t="s">
        <v>1027</v>
      </c>
      <c r="H238">
        <v>27</v>
      </c>
      <c r="I238">
        <v>100</v>
      </c>
      <c r="J238" s="6">
        <v>100</v>
      </c>
      <c r="K238">
        <v>4.7</v>
      </c>
      <c r="L238" t="b">
        <v>1</v>
      </c>
      <c r="M238">
        <v>0.69</v>
      </c>
      <c r="N238" s="1">
        <v>0.69</v>
      </c>
      <c r="O238" t="s">
        <v>1042</v>
      </c>
      <c r="P238" t="s">
        <v>1021</v>
      </c>
      <c r="Q238">
        <v>19</v>
      </c>
      <c r="R238">
        <v>7</v>
      </c>
    </row>
    <row r="239" spans="1:18" x14ac:dyDescent="0.25">
      <c r="A239" t="s">
        <v>503</v>
      </c>
      <c r="B239" t="s">
        <v>502</v>
      </c>
      <c r="C239" t="s">
        <v>41</v>
      </c>
      <c r="D239">
        <v>27</v>
      </c>
      <c r="E239" t="s">
        <v>1058</v>
      </c>
      <c r="F239" t="s">
        <v>1023</v>
      </c>
      <c r="G239" t="s">
        <v>28</v>
      </c>
      <c r="H239">
        <v>4</v>
      </c>
      <c r="I239">
        <v>75</v>
      </c>
      <c r="J239" s="6">
        <v>75</v>
      </c>
      <c r="K239">
        <v>5</v>
      </c>
      <c r="L239" t="b">
        <v>0</v>
      </c>
      <c r="M239">
        <v>0.88</v>
      </c>
      <c r="N239" s="1">
        <v>0.88</v>
      </c>
      <c r="O239" t="s">
        <v>1034</v>
      </c>
      <c r="P239" t="s">
        <v>1028</v>
      </c>
      <c r="Q239">
        <v>5</v>
      </c>
      <c r="R239">
        <v>1</v>
      </c>
    </row>
    <row r="240" spans="1:18" x14ac:dyDescent="0.25">
      <c r="A240" t="s">
        <v>505</v>
      </c>
      <c r="B240" t="s">
        <v>504</v>
      </c>
      <c r="C240" t="s">
        <v>41</v>
      </c>
      <c r="D240">
        <v>34</v>
      </c>
      <c r="E240" t="s">
        <v>1017</v>
      </c>
      <c r="F240" t="s">
        <v>1018</v>
      </c>
      <c r="G240" t="s">
        <v>1024</v>
      </c>
      <c r="H240">
        <v>11</v>
      </c>
      <c r="I240" t="s">
        <v>35</v>
      </c>
      <c r="J240" s="6">
        <v>40</v>
      </c>
      <c r="K240">
        <v>2.4</v>
      </c>
      <c r="L240" t="b">
        <v>0</v>
      </c>
      <c r="M240">
        <v>0.67</v>
      </c>
      <c r="N240" s="1">
        <v>0.67</v>
      </c>
      <c r="O240" t="s">
        <v>1042</v>
      </c>
      <c r="P240" t="s">
        <v>1025</v>
      </c>
      <c r="Q240">
        <v>13</v>
      </c>
      <c r="R240">
        <v>9</v>
      </c>
    </row>
    <row r="241" spans="1:18" x14ac:dyDescent="0.25">
      <c r="A241" t="s">
        <v>507</v>
      </c>
      <c r="B241" t="s">
        <v>506</v>
      </c>
      <c r="C241" t="s">
        <v>41</v>
      </c>
      <c r="D241">
        <v>29</v>
      </c>
      <c r="E241" t="s">
        <v>38</v>
      </c>
      <c r="F241" t="s">
        <v>1023</v>
      </c>
      <c r="G241" t="s">
        <v>1029</v>
      </c>
      <c r="H241">
        <v>4</v>
      </c>
      <c r="I241" t="s">
        <v>62</v>
      </c>
      <c r="J241" s="6">
        <v>50</v>
      </c>
      <c r="K241">
        <v>4</v>
      </c>
      <c r="L241" t="b">
        <v>0</v>
      </c>
      <c r="N241" s="1">
        <v>0.78</v>
      </c>
      <c r="O241" t="s">
        <v>1034</v>
      </c>
      <c r="P241" t="s">
        <v>1038</v>
      </c>
      <c r="Q241">
        <v>3</v>
      </c>
      <c r="R241">
        <v>2</v>
      </c>
    </row>
    <row r="242" spans="1:18" x14ac:dyDescent="0.25">
      <c r="A242" t="s">
        <v>509</v>
      </c>
      <c r="B242" t="s">
        <v>508</v>
      </c>
      <c r="C242" t="s">
        <v>41</v>
      </c>
      <c r="D242">
        <v>34</v>
      </c>
      <c r="E242" t="s">
        <v>1051</v>
      </c>
      <c r="F242" t="s">
        <v>1052</v>
      </c>
      <c r="G242" t="s">
        <v>28</v>
      </c>
      <c r="H242">
        <v>11</v>
      </c>
      <c r="J242" s="6">
        <v>70</v>
      </c>
      <c r="K242">
        <v>1.2</v>
      </c>
      <c r="L242" t="b">
        <v>1</v>
      </c>
      <c r="N242" s="1">
        <v>0.78</v>
      </c>
      <c r="O242" t="s">
        <v>1020</v>
      </c>
      <c r="P242" t="s">
        <v>1028</v>
      </c>
      <c r="Q242">
        <v>11</v>
      </c>
      <c r="R242">
        <v>4</v>
      </c>
    </row>
    <row r="243" spans="1:18" x14ac:dyDescent="0.25">
      <c r="A243" t="s">
        <v>511</v>
      </c>
      <c r="B243" t="s">
        <v>510</v>
      </c>
      <c r="C243" t="s">
        <v>18</v>
      </c>
      <c r="D243">
        <v>32</v>
      </c>
      <c r="E243" t="s">
        <v>1067</v>
      </c>
      <c r="F243" t="s">
        <v>1044</v>
      </c>
      <c r="G243" t="s">
        <v>28</v>
      </c>
      <c r="H243">
        <v>1</v>
      </c>
      <c r="I243">
        <v>100</v>
      </c>
      <c r="J243" s="6">
        <v>100</v>
      </c>
      <c r="K243">
        <v>4.7</v>
      </c>
      <c r="L243" t="b">
        <v>0</v>
      </c>
      <c r="M243">
        <v>0.67</v>
      </c>
      <c r="N243" s="1">
        <v>0.67</v>
      </c>
      <c r="O243" t="s">
        <v>1041</v>
      </c>
      <c r="P243" t="s">
        <v>1028</v>
      </c>
      <c r="Q243">
        <v>5</v>
      </c>
      <c r="R243">
        <v>1</v>
      </c>
    </row>
    <row r="244" spans="1:18" x14ac:dyDescent="0.25">
      <c r="A244" t="s">
        <v>513</v>
      </c>
      <c r="B244" t="s">
        <v>512</v>
      </c>
      <c r="C244" t="s">
        <v>18</v>
      </c>
      <c r="D244">
        <v>21</v>
      </c>
      <c r="E244" t="s">
        <v>1063</v>
      </c>
      <c r="F244" t="s">
        <v>1064</v>
      </c>
      <c r="G244" t="s">
        <v>1031</v>
      </c>
      <c r="H244">
        <v>2</v>
      </c>
      <c r="I244">
        <v>20</v>
      </c>
      <c r="J244" s="6">
        <v>20</v>
      </c>
      <c r="K244">
        <v>2.4</v>
      </c>
      <c r="L244" t="b">
        <v>0</v>
      </c>
      <c r="M244">
        <v>0.86</v>
      </c>
      <c r="N244" s="1">
        <v>0.86</v>
      </c>
      <c r="O244" t="s">
        <v>1020</v>
      </c>
      <c r="P244" t="s">
        <v>1021</v>
      </c>
      <c r="Q244">
        <v>4</v>
      </c>
      <c r="R244">
        <v>2</v>
      </c>
    </row>
    <row r="245" spans="1:18" x14ac:dyDescent="0.25">
      <c r="A245" t="s">
        <v>515</v>
      </c>
      <c r="B245" t="s">
        <v>514</v>
      </c>
      <c r="C245" t="s">
        <v>41</v>
      </c>
      <c r="D245">
        <v>20</v>
      </c>
      <c r="E245" t="s">
        <v>1067</v>
      </c>
      <c r="F245" t="s">
        <v>1044</v>
      </c>
      <c r="G245" t="s">
        <v>1027</v>
      </c>
      <c r="H245">
        <v>2</v>
      </c>
      <c r="J245" s="6">
        <v>70</v>
      </c>
      <c r="K245">
        <v>1.1000000000000001</v>
      </c>
      <c r="L245" t="b">
        <v>0</v>
      </c>
      <c r="M245">
        <v>0.69</v>
      </c>
      <c r="N245" s="1">
        <v>0.69</v>
      </c>
      <c r="O245" t="s">
        <v>1042</v>
      </c>
      <c r="P245" t="s">
        <v>1021</v>
      </c>
      <c r="Q245">
        <v>3</v>
      </c>
      <c r="R245">
        <v>1</v>
      </c>
    </row>
    <row r="246" spans="1:18" x14ac:dyDescent="0.25">
      <c r="A246" t="s">
        <v>517</v>
      </c>
      <c r="B246" t="s">
        <v>516</v>
      </c>
      <c r="C246" t="s">
        <v>18</v>
      </c>
      <c r="D246">
        <v>35</v>
      </c>
      <c r="E246" t="s">
        <v>38</v>
      </c>
      <c r="F246" t="s">
        <v>1023</v>
      </c>
      <c r="G246" t="s">
        <v>1024</v>
      </c>
      <c r="H246">
        <v>10</v>
      </c>
      <c r="I246">
        <v>50</v>
      </c>
      <c r="J246" s="6">
        <v>50</v>
      </c>
      <c r="K246">
        <v>1.4</v>
      </c>
      <c r="L246" t="b">
        <v>1</v>
      </c>
      <c r="M246">
        <v>0.85</v>
      </c>
      <c r="N246" s="1">
        <v>0.85</v>
      </c>
      <c r="O246" t="s">
        <v>1042</v>
      </c>
      <c r="P246" t="s">
        <v>1038</v>
      </c>
      <c r="Q246">
        <v>8</v>
      </c>
      <c r="R246">
        <v>4</v>
      </c>
    </row>
    <row r="247" spans="1:18" x14ac:dyDescent="0.25">
      <c r="A247" t="s">
        <v>519</v>
      </c>
      <c r="B247" t="s">
        <v>518</v>
      </c>
      <c r="C247" t="s">
        <v>18</v>
      </c>
      <c r="D247">
        <v>47</v>
      </c>
      <c r="E247" t="s">
        <v>38</v>
      </c>
      <c r="F247" t="s">
        <v>1023</v>
      </c>
      <c r="G247" t="s">
        <v>1045</v>
      </c>
      <c r="H247">
        <v>18</v>
      </c>
      <c r="I247">
        <v>40</v>
      </c>
      <c r="J247" s="6">
        <v>40</v>
      </c>
      <c r="K247">
        <v>3.4</v>
      </c>
      <c r="L247" t="b">
        <v>0</v>
      </c>
      <c r="M247">
        <v>60</v>
      </c>
      <c r="N247" s="1">
        <v>0.6</v>
      </c>
      <c r="O247" t="s">
        <v>1020</v>
      </c>
      <c r="P247" t="s">
        <v>1028</v>
      </c>
      <c r="Q247">
        <v>11</v>
      </c>
      <c r="R247">
        <v>10</v>
      </c>
    </row>
    <row r="248" spans="1:18" x14ac:dyDescent="0.25">
      <c r="A248" t="s">
        <v>521</v>
      </c>
      <c r="B248" t="s">
        <v>520</v>
      </c>
      <c r="C248" t="s">
        <v>18</v>
      </c>
      <c r="D248">
        <v>41</v>
      </c>
      <c r="E248" t="s">
        <v>1039</v>
      </c>
      <c r="F248" t="s">
        <v>1040</v>
      </c>
      <c r="G248" t="s">
        <v>1019</v>
      </c>
      <c r="H248">
        <v>4</v>
      </c>
      <c r="I248">
        <v>40</v>
      </c>
      <c r="J248" s="6">
        <v>40</v>
      </c>
      <c r="K248">
        <v>2.7</v>
      </c>
      <c r="L248" t="b">
        <v>1</v>
      </c>
      <c r="M248">
        <v>70</v>
      </c>
      <c r="N248" s="1">
        <v>0.7</v>
      </c>
      <c r="O248" t="s">
        <v>1020</v>
      </c>
      <c r="P248" t="s">
        <v>1028</v>
      </c>
      <c r="Q248">
        <v>2</v>
      </c>
      <c r="R248">
        <v>2</v>
      </c>
    </row>
    <row r="249" spans="1:18" x14ac:dyDescent="0.25">
      <c r="A249" t="s">
        <v>523</v>
      </c>
      <c r="B249" t="s">
        <v>522</v>
      </c>
      <c r="C249" t="s">
        <v>41</v>
      </c>
      <c r="D249">
        <v>58</v>
      </c>
      <c r="E249" t="s">
        <v>1043</v>
      </c>
      <c r="F249" t="s">
        <v>1044</v>
      </c>
      <c r="G249" t="s">
        <v>1029</v>
      </c>
      <c r="H249">
        <v>23</v>
      </c>
      <c r="J249" s="6">
        <v>70</v>
      </c>
      <c r="K249">
        <v>4.9000000000000004</v>
      </c>
      <c r="L249" t="b">
        <v>0</v>
      </c>
      <c r="N249" s="1">
        <v>0.78</v>
      </c>
      <c r="O249" t="s">
        <v>1034</v>
      </c>
      <c r="P249" t="s">
        <v>1021</v>
      </c>
      <c r="Q249">
        <v>19</v>
      </c>
      <c r="R249">
        <v>5</v>
      </c>
    </row>
    <row r="250" spans="1:18" x14ac:dyDescent="0.25">
      <c r="A250" t="s">
        <v>525</v>
      </c>
      <c r="B250" t="s">
        <v>524</v>
      </c>
      <c r="C250" t="s">
        <v>41</v>
      </c>
      <c r="D250">
        <v>34</v>
      </c>
      <c r="E250" t="s">
        <v>1065</v>
      </c>
      <c r="F250" t="s">
        <v>1066</v>
      </c>
      <c r="G250" t="s">
        <v>1037</v>
      </c>
      <c r="H250">
        <v>6</v>
      </c>
      <c r="I250">
        <v>75</v>
      </c>
      <c r="J250" s="6">
        <v>75</v>
      </c>
      <c r="K250">
        <v>1.9</v>
      </c>
      <c r="L250" t="b">
        <v>1</v>
      </c>
      <c r="M250">
        <v>0.81</v>
      </c>
      <c r="N250" s="1">
        <v>0.81</v>
      </c>
      <c r="O250" t="s">
        <v>1042</v>
      </c>
      <c r="P250" t="s">
        <v>1028</v>
      </c>
      <c r="Q250">
        <v>9</v>
      </c>
      <c r="R250">
        <v>6</v>
      </c>
    </row>
    <row r="251" spans="1:18" x14ac:dyDescent="0.25">
      <c r="A251" t="s">
        <v>527</v>
      </c>
      <c r="B251" t="s">
        <v>526</v>
      </c>
      <c r="C251" t="s">
        <v>18</v>
      </c>
      <c r="D251">
        <v>50</v>
      </c>
      <c r="E251" t="s">
        <v>1051</v>
      </c>
      <c r="F251" t="s">
        <v>1052</v>
      </c>
      <c r="G251" t="s">
        <v>1024</v>
      </c>
      <c r="H251">
        <v>5</v>
      </c>
      <c r="I251">
        <v>100</v>
      </c>
      <c r="J251" s="6">
        <v>100</v>
      </c>
      <c r="K251">
        <v>2.4</v>
      </c>
      <c r="L251" t="b">
        <v>1</v>
      </c>
      <c r="N251" s="1">
        <v>0.78</v>
      </c>
      <c r="O251" t="s">
        <v>1042</v>
      </c>
      <c r="P251" t="s">
        <v>1028</v>
      </c>
      <c r="Q251">
        <v>4</v>
      </c>
      <c r="R251">
        <v>1</v>
      </c>
    </row>
    <row r="252" spans="1:18" x14ac:dyDescent="0.25">
      <c r="A252" t="s">
        <v>529</v>
      </c>
      <c r="B252" t="s">
        <v>528</v>
      </c>
      <c r="C252" t="s">
        <v>18</v>
      </c>
      <c r="D252">
        <v>42</v>
      </c>
      <c r="E252" t="s">
        <v>1067</v>
      </c>
      <c r="F252" t="s">
        <v>1044</v>
      </c>
      <c r="G252" t="s">
        <v>1050</v>
      </c>
      <c r="H252">
        <v>19</v>
      </c>
      <c r="I252" t="s">
        <v>32</v>
      </c>
      <c r="J252" s="6">
        <v>75</v>
      </c>
      <c r="K252">
        <v>4.5999999999999996</v>
      </c>
      <c r="L252" t="b">
        <v>0</v>
      </c>
      <c r="M252">
        <v>0.78</v>
      </c>
      <c r="N252" s="1">
        <v>0.78</v>
      </c>
      <c r="O252" t="s">
        <v>1020</v>
      </c>
      <c r="P252" t="s">
        <v>1028</v>
      </c>
      <c r="Q252">
        <v>18</v>
      </c>
      <c r="R252">
        <v>13</v>
      </c>
    </row>
    <row r="253" spans="1:18" x14ac:dyDescent="0.25">
      <c r="A253" t="s">
        <v>531</v>
      </c>
      <c r="B253" t="s">
        <v>530</v>
      </c>
      <c r="C253" t="s">
        <v>41</v>
      </c>
      <c r="D253">
        <v>43</v>
      </c>
      <c r="E253" t="s">
        <v>1026</v>
      </c>
      <c r="F253" t="s">
        <v>1026</v>
      </c>
      <c r="G253" t="s">
        <v>1045</v>
      </c>
      <c r="H253">
        <v>6</v>
      </c>
      <c r="I253">
        <v>50</v>
      </c>
      <c r="J253" s="6">
        <v>50</v>
      </c>
      <c r="K253">
        <v>0</v>
      </c>
      <c r="L253" t="b">
        <v>0</v>
      </c>
      <c r="M253">
        <v>81</v>
      </c>
      <c r="N253" s="1">
        <v>0.81</v>
      </c>
      <c r="O253" t="s">
        <v>1041</v>
      </c>
      <c r="P253" t="s">
        <v>1021</v>
      </c>
      <c r="Q253">
        <v>8</v>
      </c>
      <c r="R253">
        <v>13</v>
      </c>
    </row>
    <row r="254" spans="1:18" x14ac:dyDescent="0.25">
      <c r="A254" t="s">
        <v>533</v>
      </c>
      <c r="B254" t="s">
        <v>532</v>
      </c>
      <c r="C254" t="s">
        <v>41</v>
      </c>
      <c r="D254">
        <v>34</v>
      </c>
      <c r="E254" t="s">
        <v>1026</v>
      </c>
      <c r="F254" t="s">
        <v>1026</v>
      </c>
      <c r="G254" t="s">
        <v>1037</v>
      </c>
      <c r="H254">
        <v>8</v>
      </c>
      <c r="I254">
        <v>75</v>
      </c>
      <c r="J254" s="6">
        <v>75</v>
      </c>
      <c r="K254">
        <v>1.8</v>
      </c>
      <c r="L254" t="b">
        <v>1</v>
      </c>
      <c r="M254">
        <v>0.71</v>
      </c>
      <c r="N254" s="1">
        <v>0.71</v>
      </c>
      <c r="O254" t="s">
        <v>1042</v>
      </c>
      <c r="P254" t="s">
        <v>1038</v>
      </c>
      <c r="Q254">
        <v>8</v>
      </c>
      <c r="R254">
        <v>9</v>
      </c>
    </row>
    <row r="255" spans="1:18" x14ac:dyDescent="0.25">
      <c r="A255" t="s">
        <v>535</v>
      </c>
      <c r="B255" t="s">
        <v>534</v>
      </c>
      <c r="C255" t="s">
        <v>41</v>
      </c>
      <c r="D255">
        <v>24</v>
      </c>
      <c r="E255" t="s">
        <v>1068</v>
      </c>
      <c r="F255" t="s">
        <v>1044</v>
      </c>
      <c r="G255" t="s">
        <v>1024</v>
      </c>
      <c r="H255">
        <v>3</v>
      </c>
      <c r="I255">
        <v>75</v>
      </c>
      <c r="J255" s="6">
        <v>75</v>
      </c>
      <c r="K255">
        <v>2</v>
      </c>
      <c r="L255" t="b">
        <v>0</v>
      </c>
      <c r="N255" s="1">
        <v>0.78</v>
      </c>
      <c r="O255" t="s">
        <v>1041</v>
      </c>
      <c r="P255" t="s">
        <v>1025</v>
      </c>
      <c r="Q255">
        <v>2</v>
      </c>
      <c r="R255">
        <v>1</v>
      </c>
    </row>
    <row r="256" spans="1:18" x14ac:dyDescent="0.25">
      <c r="A256" t="s">
        <v>537</v>
      </c>
      <c r="B256" t="s">
        <v>536</v>
      </c>
      <c r="C256" t="s">
        <v>41</v>
      </c>
      <c r="D256">
        <v>48</v>
      </c>
      <c r="E256" t="s">
        <v>1063</v>
      </c>
      <c r="F256" t="s">
        <v>1064</v>
      </c>
      <c r="G256" t="s">
        <v>1045</v>
      </c>
      <c r="H256">
        <v>8</v>
      </c>
      <c r="I256">
        <v>30</v>
      </c>
      <c r="J256" s="6">
        <v>30</v>
      </c>
      <c r="K256">
        <v>5</v>
      </c>
      <c r="L256" t="b">
        <v>1</v>
      </c>
      <c r="M256">
        <v>0.99</v>
      </c>
      <c r="N256" s="1">
        <v>0.99</v>
      </c>
      <c r="O256" t="s">
        <v>1020</v>
      </c>
      <c r="P256" t="s">
        <v>1038</v>
      </c>
      <c r="Q256">
        <v>6</v>
      </c>
      <c r="R256">
        <v>9</v>
      </c>
    </row>
    <row r="257" spans="1:18" x14ac:dyDescent="0.25">
      <c r="A257" t="s">
        <v>539</v>
      </c>
      <c r="B257" t="s">
        <v>538</v>
      </c>
      <c r="C257" t="s">
        <v>18</v>
      </c>
      <c r="D257">
        <v>39</v>
      </c>
      <c r="E257" t="s">
        <v>1047</v>
      </c>
      <c r="F257" t="s">
        <v>1055</v>
      </c>
      <c r="G257" t="s">
        <v>1037</v>
      </c>
      <c r="H257">
        <v>12</v>
      </c>
      <c r="I257" t="s">
        <v>80</v>
      </c>
      <c r="J257" s="6">
        <v>20</v>
      </c>
      <c r="K257">
        <v>3.2</v>
      </c>
      <c r="L257" t="b">
        <v>1</v>
      </c>
      <c r="M257">
        <v>0.66</v>
      </c>
      <c r="N257" s="1">
        <v>0.66</v>
      </c>
      <c r="O257" t="s">
        <v>1020</v>
      </c>
      <c r="P257" t="s">
        <v>1025</v>
      </c>
      <c r="Q257">
        <v>15</v>
      </c>
      <c r="R257">
        <v>6</v>
      </c>
    </row>
    <row r="258" spans="1:18" x14ac:dyDescent="0.25">
      <c r="A258" t="s">
        <v>541</v>
      </c>
      <c r="B258" t="s">
        <v>540</v>
      </c>
      <c r="C258" t="s">
        <v>18</v>
      </c>
      <c r="D258">
        <v>57</v>
      </c>
      <c r="E258" t="s">
        <v>1022</v>
      </c>
      <c r="F258" t="s">
        <v>1023</v>
      </c>
      <c r="G258" t="s">
        <v>1019</v>
      </c>
      <c r="H258">
        <v>30</v>
      </c>
      <c r="I258" t="s">
        <v>29</v>
      </c>
      <c r="J258" s="6">
        <v>30</v>
      </c>
      <c r="K258">
        <v>2.4</v>
      </c>
      <c r="L258" t="b">
        <v>0</v>
      </c>
      <c r="M258">
        <v>0.8</v>
      </c>
      <c r="N258" s="1">
        <v>0.8</v>
      </c>
      <c r="O258" t="s">
        <v>1034</v>
      </c>
      <c r="P258" t="s">
        <v>1028</v>
      </c>
      <c r="Q258">
        <v>13</v>
      </c>
      <c r="R258">
        <v>8</v>
      </c>
    </row>
    <row r="259" spans="1:18" x14ac:dyDescent="0.25">
      <c r="A259" t="s">
        <v>543</v>
      </c>
      <c r="B259" t="s">
        <v>542</v>
      </c>
      <c r="C259" t="s">
        <v>18</v>
      </c>
      <c r="D259">
        <v>44</v>
      </c>
      <c r="E259" t="s">
        <v>1058</v>
      </c>
      <c r="F259" t="s">
        <v>1023</v>
      </c>
      <c r="G259" t="s">
        <v>1029</v>
      </c>
      <c r="H259">
        <v>21</v>
      </c>
      <c r="I259">
        <v>100</v>
      </c>
      <c r="J259" s="6">
        <v>100</v>
      </c>
      <c r="K259">
        <v>2.9</v>
      </c>
      <c r="L259" t="b">
        <v>0</v>
      </c>
      <c r="M259">
        <v>0.83</v>
      </c>
      <c r="N259" s="1">
        <v>0.83</v>
      </c>
      <c r="O259" t="s">
        <v>1042</v>
      </c>
      <c r="P259" t="s">
        <v>1038</v>
      </c>
      <c r="Q259">
        <v>17</v>
      </c>
      <c r="R259">
        <v>1</v>
      </c>
    </row>
    <row r="260" spans="1:18" x14ac:dyDescent="0.25">
      <c r="A260" t="s">
        <v>545</v>
      </c>
      <c r="B260" t="s">
        <v>544</v>
      </c>
      <c r="C260" t="s">
        <v>41</v>
      </c>
      <c r="D260">
        <v>37</v>
      </c>
      <c r="E260" t="s">
        <v>1053</v>
      </c>
      <c r="F260" t="s">
        <v>1054</v>
      </c>
      <c r="G260" t="s">
        <v>1045</v>
      </c>
      <c r="H260">
        <v>17</v>
      </c>
      <c r="I260" t="s">
        <v>259</v>
      </c>
      <c r="J260" s="6">
        <v>20</v>
      </c>
      <c r="K260">
        <v>0</v>
      </c>
      <c r="L260" t="b">
        <v>1</v>
      </c>
      <c r="M260">
        <v>87</v>
      </c>
      <c r="N260" s="1">
        <v>0.87</v>
      </c>
      <c r="O260" t="s">
        <v>1041</v>
      </c>
      <c r="P260" t="s">
        <v>1025</v>
      </c>
      <c r="Q260">
        <v>16</v>
      </c>
      <c r="R260">
        <v>7</v>
      </c>
    </row>
    <row r="261" spans="1:18" x14ac:dyDescent="0.25">
      <c r="A261" t="s">
        <v>547</v>
      </c>
      <c r="B261" t="s">
        <v>546</v>
      </c>
      <c r="C261" t="s">
        <v>41</v>
      </c>
      <c r="D261">
        <v>50</v>
      </c>
      <c r="E261" t="s">
        <v>1039</v>
      </c>
      <c r="F261" t="s">
        <v>1040</v>
      </c>
      <c r="G261" t="s">
        <v>1037</v>
      </c>
      <c r="H261">
        <v>9</v>
      </c>
      <c r="I261">
        <v>30</v>
      </c>
      <c r="J261" s="6">
        <v>30</v>
      </c>
      <c r="K261">
        <v>3</v>
      </c>
      <c r="L261" t="b">
        <v>0</v>
      </c>
      <c r="M261">
        <v>76</v>
      </c>
      <c r="N261" s="1">
        <v>0.76</v>
      </c>
      <c r="O261" t="s">
        <v>1034</v>
      </c>
      <c r="P261" t="s">
        <v>1021</v>
      </c>
      <c r="Q261">
        <v>15</v>
      </c>
      <c r="R261">
        <v>3</v>
      </c>
    </row>
    <row r="262" spans="1:18" x14ac:dyDescent="0.25">
      <c r="A262" t="s">
        <v>549</v>
      </c>
      <c r="B262" t="s">
        <v>548</v>
      </c>
      <c r="C262" t="s">
        <v>41</v>
      </c>
      <c r="D262">
        <v>50</v>
      </c>
      <c r="E262" t="s">
        <v>1068</v>
      </c>
      <c r="F262" t="s">
        <v>1044</v>
      </c>
      <c r="G262" t="s">
        <v>1045</v>
      </c>
      <c r="H262">
        <v>2</v>
      </c>
      <c r="I262">
        <v>50</v>
      </c>
      <c r="J262" s="6">
        <v>50</v>
      </c>
      <c r="K262">
        <v>1.6</v>
      </c>
      <c r="L262" t="b">
        <v>0</v>
      </c>
      <c r="M262">
        <v>0.89</v>
      </c>
      <c r="N262" s="1">
        <v>0.89</v>
      </c>
      <c r="O262" t="s">
        <v>1042</v>
      </c>
      <c r="P262" t="s">
        <v>1021</v>
      </c>
      <c r="Q262">
        <v>3</v>
      </c>
      <c r="R262">
        <v>1</v>
      </c>
    </row>
    <row r="263" spans="1:18" x14ac:dyDescent="0.25">
      <c r="A263" t="s">
        <v>551</v>
      </c>
      <c r="B263" t="s">
        <v>550</v>
      </c>
      <c r="C263" t="s">
        <v>18</v>
      </c>
      <c r="D263">
        <v>28</v>
      </c>
      <c r="E263" t="s">
        <v>1059</v>
      </c>
      <c r="F263" t="s">
        <v>1060</v>
      </c>
      <c r="G263" t="s">
        <v>1027</v>
      </c>
      <c r="H263">
        <v>1</v>
      </c>
      <c r="I263">
        <v>20</v>
      </c>
      <c r="J263" s="6">
        <v>20</v>
      </c>
      <c r="K263">
        <v>3.6</v>
      </c>
      <c r="L263" t="b">
        <v>1</v>
      </c>
      <c r="M263">
        <v>0.94</v>
      </c>
      <c r="N263" s="1">
        <v>0.94</v>
      </c>
      <c r="O263" t="s">
        <v>1034</v>
      </c>
      <c r="P263" t="s">
        <v>1038</v>
      </c>
      <c r="Q263">
        <v>3</v>
      </c>
      <c r="R263">
        <v>1</v>
      </c>
    </row>
    <row r="264" spans="1:18" x14ac:dyDescent="0.25">
      <c r="A264" t="s">
        <v>553</v>
      </c>
      <c r="B264" t="s">
        <v>552</v>
      </c>
      <c r="C264" t="s">
        <v>41</v>
      </c>
      <c r="D264">
        <v>48</v>
      </c>
      <c r="E264" t="s">
        <v>1017</v>
      </c>
      <c r="F264" t="s">
        <v>1018</v>
      </c>
      <c r="G264" t="s">
        <v>1029</v>
      </c>
      <c r="H264">
        <v>23</v>
      </c>
      <c r="J264" s="6">
        <v>70</v>
      </c>
      <c r="K264">
        <v>2.1</v>
      </c>
      <c r="L264" t="b">
        <v>0</v>
      </c>
      <c r="M264">
        <v>0.68</v>
      </c>
      <c r="N264" s="1">
        <v>0.68</v>
      </c>
      <c r="O264" t="s">
        <v>1020</v>
      </c>
      <c r="P264" t="s">
        <v>1038</v>
      </c>
      <c r="Q264">
        <v>14</v>
      </c>
      <c r="R264">
        <v>7</v>
      </c>
    </row>
    <row r="265" spans="1:18" x14ac:dyDescent="0.25">
      <c r="A265" t="s">
        <v>555</v>
      </c>
      <c r="B265" t="s">
        <v>554</v>
      </c>
      <c r="C265" t="s">
        <v>41</v>
      </c>
      <c r="D265">
        <v>42</v>
      </c>
      <c r="E265" t="s">
        <v>1026</v>
      </c>
      <c r="F265" t="s">
        <v>1026</v>
      </c>
      <c r="G265" t="s">
        <v>1050</v>
      </c>
      <c r="H265">
        <v>8</v>
      </c>
      <c r="I265">
        <v>30</v>
      </c>
      <c r="J265" s="6">
        <v>30</v>
      </c>
      <c r="K265">
        <v>3.6</v>
      </c>
      <c r="L265" t="b">
        <v>1</v>
      </c>
      <c r="M265">
        <v>0.96</v>
      </c>
      <c r="N265" s="1">
        <v>0.96</v>
      </c>
      <c r="O265" t="s">
        <v>1042</v>
      </c>
      <c r="P265" t="s">
        <v>1028</v>
      </c>
      <c r="Q265">
        <v>9</v>
      </c>
      <c r="R265">
        <v>7</v>
      </c>
    </row>
    <row r="266" spans="1:18" x14ac:dyDescent="0.25">
      <c r="A266" t="s">
        <v>557</v>
      </c>
      <c r="B266" t="s">
        <v>556</v>
      </c>
      <c r="C266" t="s">
        <v>18</v>
      </c>
      <c r="D266">
        <v>37</v>
      </c>
      <c r="E266" t="s">
        <v>1058</v>
      </c>
      <c r="F266" t="s">
        <v>1023</v>
      </c>
      <c r="G266" t="s">
        <v>1037</v>
      </c>
      <c r="H266">
        <v>6</v>
      </c>
      <c r="I266" t="s">
        <v>80</v>
      </c>
      <c r="J266" s="6">
        <v>20</v>
      </c>
      <c r="K266">
        <v>2.7</v>
      </c>
      <c r="L266" t="b">
        <v>1</v>
      </c>
      <c r="M266">
        <v>0.91</v>
      </c>
      <c r="N266" s="1">
        <v>0.91</v>
      </c>
      <c r="O266" t="s">
        <v>1034</v>
      </c>
      <c r="P266" t="s">
        <v>1038</v>
      </c>
      <c r="Q266">
        <v>6</v>
      </c>
      <c r="R266">
        <v>4</v>
      </c>
    </row>
    <row r="267" spans="1:18" x14ac:dyDescent="0.25">
      <c r="A267" t="s">
        <v>559</v>
      </c>
      <c r="B267" t="s">
        <v>558</v>
      </c>
      <c r="C267" t="s">
        <v>41</v>
      </c>
      <c r="D267">
        <v>21</v>
      </c>
      <c r="E267" t="s">
        <v>1051</v>
      </c>
      <c r="F267" t="s">
        <v>1052</v>
      </c>
      <c r="G267" t="s">
        <v>1019</v>
      </c>
      <c r="H267">
        <v>1</v>
      </c>
      <c r="I267">
        <v>100</v>
      </c>
      <c r="J267" s="6">
        <v>100</v>
      </c>
      <c r="K267">
        <v>2.1</v>
      </c>
      <c r="L267" t="b">
        <v>1</v>
      </c>
      <c r="M267">
        <v>0.92</v>
      </c>
      <c r="N267" s="1">
        <v>0.92</v>
      </c>
      <c r="O267" t="s">
        <v>1034</v>
      </c>
      <c r="P267" t="s">
        <v>1028</v>
      </c>
      <c r="Q267">
        <v>5</v>
      </c>
      <c r="R267">
        <v>4</v>
      </c>
    </row>
    <row r="268" spans="1:18" x14ac:dyDescent="0.25">
      <c r="A268" t="s">
        <v>561</v>
      </c>
      <c r="B268" t="s">
        <v>560</v>
      </c>
      <c r="C268" t="s">
        <v>41</v>
      </c>
      <c r="D268">
        <v>50</v>
      </c>
      <c r="E268" t="s">
        <v>1047</v>
      </c>
      <c r="F268" t="s">
        <v>1055</v>
      </c>
      <c r="G268" t="s">
        <v>1029</v>
      </c>
      <c r="H268">
        <v>19</v>
      </c>
      <c r="I268" t="s">
        <v>24</v>
      </c>
      <c r="J268" s="6">
        <v>40</v>
      </c>
      <c r="K268">
        <v>4.9000000000000004</v>
      </c>
      <c r="L268" t="b">
        <v>0</v>
      </c>
      <c r="M268">
        <v>0.82</v>
      </c>
      <c r="N268" s="1">
        <v>0.82</v>
      </c>
      <c r="O268" t="s">
        <v>1041</v>
      </c>
      <c r="P268" t="s">
        <v>1028</v>
      </c>
      <c r="Q268">
        <v>15</v>
      </c>
      <c r="R268">
        <v>15</v>
      </c>
    </row>
    <row r="269" spans="1:18" x14ac:dyDescent="0.25">
      <c r="A269" t="s">
        <v>563</v>
      </c>
      <c r="B269" t="s">
        <v>562</v>
      </c>
      <c r="C269" t="s">
        <v>18</v>
      </c>
      <c r="D269">
        <v>22</v>
      </c>
      <c r="E269" t="s">
        <v>1043</v>
      </c>
      <c r="F269" t="s">
        <v>1044</v>
      </c>
      <c r="G269" t="s">
        <v>28</v>
      </c>
      <c r="H269">
        <v>2</v>
      </c>
      <c r="I269">
        <v>30</v>
      </c>
      <c r="J269" s="6">
        <v>30</v>
      </c>
      <c r="K269">
        <v>2.1</v>
      </c>
      <c r="L269" t="b">
        <v>0</v>
      </c>
      <c r="N269" s="1">
        <v>0.78</v>
      </c>
      <c r="O269" t="s">
        <v>1034</v>
      </c>
      <c r="P269" t="s">
        <v>1021</v>
      </c>
      <c r="Q269">
        <v>2</v>
      </c>
      <c r="R269">
        <v>2</v>
      </c>
    </row>
    <row r="270" spans="1:18" x14ac:dyDescent="0.25">
      <c r="A270" t="s">
        <v>565</v>
      </c>
      <c r="B270" t="s">
        <v>564</v>
      </c>
      <c r="C270" t="s">
        <v>18</v>
      </c>
      <c r="D270">
        <v>39</v>
      </c>
      <c r="E270" t="s">
        <v>1048</v>
      </c>
      <c r="F270" t="s">
        <v>1049</v>
      </c>
      <c r="G270" t="s">
        <v>1029</v>
      </c>
      <c r="H270">
        <v>21</v>
      </c>
      <c r="I270">
        <v>100</v>
      </c>
      <c r="J270" s="6">
        <v>100</v>
      </c>
      <c r="K270">
        <v>0</v>
      </c>
      <c r="L270" t="b">
        <v>0</v>
      </c>
      <c r="M270">
        <v>0.91</v>
      </c>
      <c r="N270" s="1">
        <v>0.91</v>
      </c>
      <c r="O270" t="s">
        <v>1042</v>
      </c>
      <c r="P270" t="s">
        <v>1021</v>
      </c>
      <c r="Q270">
        <v>17</v>
      </c>
      <c r="R270">
        <v>13</v>
      </c>
    </row>
    <row r="271" spans="1:18" x14ac:dyDescent="0.25">
      <c r="A271" t="s">
        <v>567</v>
      </c>
      <c r="B271" t="s">
        <v>566</v>
      </c>
      <c r="C271" t="s">
        <v>18</v>
      </c>
      <c r="D271">
        <v>25</v>
      </c>
      <c r="E271" t="s">
        <v>1048</v>
      </c>
      <c r="F271" t="s">
        <v>1049</v>
      </c>
      <c r="G271" t="s">
        <v>1031</v>
      </c>
      <c r="H271">
        <v>3</v>
      </c>
      <c r="I271" t="s">
        <v>42</v>
      </c>
      <c r="J271" s="6">
        <v>50</v>
      </c>
      <c r="K271">
        <v>2.8</v>
      </c>
      <c r="L271" t="b">
        <v>1</v>
      </c>
      <c r="M271">
        <v>86</v>
      </c>
      <c r="N271" s="1">
        <v>0.86</v>
      </c>
      <c r="O271" t="s">
        <v>1042</v>
      </c>
      <c r="P271" t="s">
        <v>1025</v>
      </c>
      <c r="Q271">
        <v>3</v>
      </c>
      <c r="R271">
        <v>2</v>
      </c>
    </row>
    <row r="272" spans="1:18" x14ac:dyDescent="0.25">
      <c r="A272" t="s">
        <v>569</v>
      </c>
      <c r="B272" t="s">
        <v>568</v>
      </c>
      <c r="C272" t="s">
        <v>18</v>
      </c>
      <c r="D272">
        <v>47</v>
      </c>
      <c r="E272" t="s">
        <v>1063</v>
      </c>
      <c r="F272" t="s">
        <v>1064</v>
      </c>
      <c r="G272" t="s">
        <v>1024</v>
      </c>
      <c r="H272">
        <v>14</v>
      </c>
      <c r="J272" s="6">
        <v>70</v>
      </c>
      <c r="K272">
        <v>2.4</v>
      </c>
      <c r="L272" t="b">
        <v>0</v>
      </c>
      <c r="M272">
        <v>0.69</v>
      </c>
      <c r="N272" s="1">
        <v>0.69</v>
      </c>
      <c r="O272" t="s">
        <v>1041</v>
      </c>
      <c r="P272" t="s">
        <v>1021</v>
      </c>
      <c r="Q272">
        <v>12</v>
      </c>
      <c r="R272">
        <v>13</v>
      </c>
    </row>
    <row r="273" spans="1:18" x14ac:dyDescent="0.25">
      <c r="A273" t="s">
        <v>571</v>
      </c>
      <c r="B273" t="s">
        <v>570</v>
      </c>
      <c r="C273" t="s">
        <v>18</v>
      </c>
      <c r="D273">
        <v>35</v>
      </c>
      <c r="E273" t="s">
        <v>1063</v>
      </c>
      <c r="F273" t="s">
        <v>1064</v>
      </c>
      <c r="G273" t="s">
        <v>1045</v>
      </c>
      <c r="H273">
        <v>10</v>
      </c>
      <c r="I273" t="s">
        <v>19</v>
      </c>
      <c r="J273" s="6">
        <v>100</v>
      </c>
      <c r="K273">
        <v>4.7</v>
      </c>
      <c r="L273" t="b">
        <v>1</v>
      </c>
      <c r="M273">
        <v>0.84</v>
      </c>
      <c r="N273" s="1">
        <v>0.84</v>
      </c>
      <c r="O273" t="s">
        <v>1042</v>
      </c>
      <c r="P273" t="s">
        <v>1021</v>
      </c>
      <c r="Q273">
        <v>7</v>
      </c>
      <c r="R273">
        <v>13</v>
      </c>
    </row>
    <row r="274" spans="1:18" x14ac:dyDescent="0.25">
      <c r="A274" t="s">
        <v>573</v>
      </c>
      <c r="B274" t="s">
        <v>572</v>
      </c>
      <c r="C274" t="s">
        <v>18</v>
      </c>
      <c r="D274">
        <v>41</v>
      </c>
      <c r="E274" t="s">
        <v>45</v>
      </c>
      <c r="F274" t="s">
        <v>1023</v>
      </c>
      <c r="G274" t="s">
        <v>1046</v>
      </c>
      <c r="H274">
        <v>5</v>
      </c>
      <c r="I274">
        <v>100</v>
      </c>
      <c r="J274" s="6">
        <v>100</v>
      </c>
      <c r="K274">
        <v>1.3</v>
      </c>
      <c r="L274" t="b">
        <v>0</v>
      </c>
      <c r="M274">
        <v>0.6</v>
      </c>
      <c r="N274" s="1">
        <v>0.6</v>
      </c>
      <c r="O274" t="s">
        <v>1020</v>
      </c>
      <c r="P274" t="s">
        <v>1038</v>
      </c>
      <c r="Q274">
        <v>5</v>
      </c>
      <c r="R274">
        <v>2</v>
      </c>
    </row>
    <row r="275" spans="1:18" x14ac:dyDescent="0.25">
      <c r="A275" t="s">
        <v>575</v>
      </c>
      <c r="B275" t="s">
        <v>574</v>
      </c>
      <c r="C275" t="s">
        <v>41</v>
      </c>
      <c r="D275">
        <v>35</v>
      </c>
      <c r="E275" t="s">
        <v>1032</v>
      </c>
      <c r="F275" t="s">
        <v>1033</v>
      </c>
      <c r="G275" t="s">
        <v>1019</v>
      </c>
      <c r="H275">
        <v>6</v>
      </c>
      <c r="I275" t="s">
        <v>32</v>
      </c>
      <c r="J275" s="6">
        <v>75</v>
      </c>
      <c r="K275">
        <v>1.6</v>
      </c>
      <c r="L275" t="b">
        <v>1</v>
      </c>
      <c r="M275">
        <v>0.97</v>
      </c>
      <c r="N275" s="1">
        <v>0.97</v>
      </c>
      <c r="O275" t="s">
        <v>1042</v>
      </c>
      <c r="P275" t="s">
        <v>1021</v>
      </c>
      <c r="Q275">
        <v>13</v>
      </c>
      <c r="R275">
        <v>6</v>
      </c>
    </row>
    <row r="276" spans="1:18" x14ac:dyDescent="0.25">
      <c r="A276" t="s">
        <v>577</v>
      </c>
      <c r="B276" t="s">
        <v>576</v>
      </c>
      <c r="C276" t="s">
        <v>41</v>
      </c>
      <c r="D276">
        <v>59</v>
      </c>
      <c r="E276" t="s">
        <v>1059</v>
      </c>
      <c r="F276" t="s">
        <v>1060</v>
      </c>
      <c r="G276" t="s">
        <v>1029</v>
      </c>
      <c r="H276">
        <v>21</v>
      </c>
      <c r="I276">
        <v>100</v>
      </c>
      <c r="J276" s="6">
        <v>100</v>
      </c>
      <c r="K276">
        <v>0</v>
      </c>
      <c r="L276" t="b">
        <v>0</v>
      </c>
      <c r="M276">
        <v>0.7</v>
      </c>
      <c r="N276" s="1">
        <v>0.7</v>
      </c>
      <c r="O276" t="s">
        <v>1042</v>
      </c>
      <c r="P276" t="s">
        <v>1025</v>
      </c>
      <c r="Q276">
        <v>17</v>
      </c>
      <c r="R276">
        <v>7</v>
      </c>
    </row>
    <row r="277" spans="1:18" x14ac:dyDescent="0.25">
      <c r="A277" t="s">
        <v>579</v>
      </c>
      <c r="B277" t="s">
        <v>578</v>
      </c>
      <c r="C277" t="s">
        <v>18</v>
      </c>
      <c r="D277">
        <v>26</v>
      </c>
      <c r="E277" t="s">
        <v>1065</v>
      </c>
      <c r="F277" t="s">
        <v>1066</v>
      </c>
      <c r="G277" t="s">
        <v>1045</v>
      </c>
      <c r="H277">
        <v>4</v>
      </c>
      <c r="I277" t="s">
        <v>19</v>
      </c>
      <c r="J277" s="6">
        <v>100</v>
      </c>
      <c r="K277">
        <v>3.6</v>
      </c>
      <c r="L277" t="b">
        <v>0</v>
      </c>
      <c r="M277">
        <v>0.81</v>
      </c>
      <c r="N277" s="1">
        <v>0.81</v>
      </c>
      <c r="O277" t="s">
        <v>1034</v>
      </c>
      <c r="P277" t="s">
        <v>1038</v>
      </c>
      <c r="Q277">
        <v>5</v>
      </c>
      <c r="R277">
        <v>2</v>
      </c>
    </row>
    <row r="278" spans="1:18" x14ac:dyDescent="0.25">
      <c r="A278" t="s">
        <v>581</v>
      </c>
      <c r="B278" t="s">
        <v>580</v>
      </c>
      <c r="C278" t="s">
        <v>41</v>
      </c>
      <c r="D278">
        <v>44</v>
      </c>
      <c r="E278" t="s">
        <v>1056</v>
      </c>
      <c r="F278" t="s">
        <v>1057</v>
      </c>
      <c r="G278" t="s">
        <v>1031</v>
      </c>
      <c r="H278">
        <v>18</v>
      </c>
      <c r="I278">
        <v>20</v>
      </c>
      <c r="J278" s="6">
        <v>20</v>
      </c>
      <c r="K278">
        <v>4.7</v>
      </c>
      <c r="L278" t="b">
        <v>1</v>
      </c>
      <c r="M278">
        <v>0.88</v>
      </c>
      <c r="N278" s="1">
        <v>0.88</v>
      </c>
      <c r="O278" t="s">
        <v>1034</v>
      </c>
      <c r="P278" t="s">
        <v>1025</v>
      </c>
      <c r="Q278">
        <v>15</v>
      </c>
      <c r="R278">
        <v>10</v>
      </c>
    </row>
    <row r="279" spans="1:18" x14ac:dyDescent="0.25">
      <c r="A279" t="s">
        <v>583</v>
      </c>
      <c r="B279" t="s">
        <v>582</v>
      </c>
      <c r="C279" t="s">
        <v>18</v>
      </c>
      <c r="D279">
        <v>31</v>
      </c>
      <c r="E279" t="s">
        <v>1063</v>
      </c>
      <c r="F279" t="s">
        <v>1064</v>
      </c>
      <c r="G279" t="s">
        <v>1045</v>
      </c>
      <c r="H279">
        <v>12</v>
      </c>
      <c r="I279" t="s">
        <v>24</v>
      </c>
      <c r="J279" s="6">
        <v>40</v>
      </c>
      <c r="K279">
        <v>2.4</v>
      </c>
      <c r="L279" t="b">
        <v>1</v>
      </c>
      <c r="M279">
        <v>1</v>
      </c>
      <c r="N279" s="1">
        <v>1</v>
      </c>
      <c r="O279" t="s">
        <v>1042</v>
      </c>
      <c r="P279" t="s">
        <v>1021</v>
      </c>
      <c r="Q279">
        <v>15</v>
      </c>
      <c r="R279">
        <v>13</v>
      </c>
    </row>
    <row r="280" spans="1:18" x14ac:dyDescent="0.25">
      <c r="A280" t="s">
        <v>1070</v>
      </c>
      <c r="B280" t="s">
        <v>584</v>
      </c>
      <c r="C280" t="s">
        <v>41</v>
      </c>
      <c r="D280">
        <v>60</v>
      </c>
      <c r="E280" t="s">
        <v>1039</v>
      </c>
      <c r="F280" t="s">
        <v>1040</v>
      </c>
      <c r="G280" t="s">
        <v>1037</v>
      </c>
      <c r="H280">
        <v>6</v>
      </c>
      <c r="J280" s="6">
        <v>70</v>
      </c>
      <c r="K280">
        <v>3.2</v>
      </c>
      <c r="L280" t="b">
        <v>0</v>
      </c>
      <c r="M280">
        <v>95</v>
      </c>
      <c r="N280" s="1">
        <v>0.95</v>
      </c>
      <c r="O280" t="s">
        <v>1041</v>
      </c>
      <c r="P280" t="s">
        <v>1025</v>
      </c>
      <c r="Q280">
        <v>10</v>
      </c>
      <c r="R280">
        <v>5</v>
      </c>
    </row>
    <row r="281" spans="1:18" x14ac:dyDescent="0.25">
      <c r="A281" t="s">
        <v>586</v>
      </c>
      <c r="B281" t="s">
        <v>585</v>
      </c>
      <c r="C281" t="s">
        <v>18</v>
      </c>
      <c r="D281">
        <v>23</v>
      </c>
      <c r="E281" t="s">
        <v>45</v>
      </c>
      <c r="F281" t="s">
        <v>1023</v>
      </c>
      <c r="G281" t="s">
        <v>1019</v>
      </c>
      <c r="H281">
        <v>4</v>
      </c>
      <c r="I281" t="s">
        <v>259</v>
      </c>
      <c r="J281" s="6">
        <v>20</v>
      </c>
      <c r="K281">
        <v>2.4</v>
      </c>
      <c r="L281" t="b">
        <v>0</v>
      </c>
      <c r="M281">
        <v>0.71</v>
      </c>
      <c r="N281" s="1">
        <v>0.71</v>
      </c>
      <c r="O281" t="s">
        <v>1034</v>
      </c>
      <c r="P281" t="s">
        <v>1038</v>
      </c>
      <c r="Q281">
        <v>3</v>
      </c>
      <c r="R281">
        <v>5</v>
      </c>
    </row>
    <row r="282" spans="1:18" x14ac:dyDescent="0.25">
      <c r="A282" t="s">
        <v>588</v>
      </c>
      <c r="B282" t="s">
        <v>587</v>
      </c>
      <c r="C282" t="s">
        <v>41</v>
      </c>
      <c r="D282">
        <v>42</v>
      </c>
      <c r="E282" t="s">
        <v>1035</v>
      </c>
      <c r="F282" t="s">
        <v>1036</v>
      </c>
      <c r="G282" t="s">
        <v>1045</v>
      </c>
      <c r="H282">
        <v>13</v>
      </c>
      <c r="I282" t="s">
        <v>80</v>
      </c>
      <c r="J282" s="6">
        <v>20</v>
      </c>
      <c r="K282">
        <v>4.7</v>
      </c>
      <c r="L282" t="b">
        <v>0</v>
      </c>
      <c r="M282">
        <v>0.85</v>
      </c>
      <c r="N282" s="1">
        <v>0.85</v>
      </c>
      <c r="O282" t="s">
        <v>1041</v>
      </c>
      <c r="P282" t="s">
        <v>1028</v>
      </c>
      <c r="Q282">
        <v>9</v>
      </c>
      <c r="R282">
        <v>3</v>
      </c>
    </row>
    <row r="283" spans="1:18" x14ac:dyDescent="0.25">
      <c r="A283" t="s">
        <v>590</v>
      </c>
      <c r="B283" t="s">
        <v>589</v>
      </c>
      <c r="C283" t="s">
        <v>18</v>
      </c>
      <c r="D283">
        <v>48</v>
      </c>
      <c r="E283" t="s">
        <v>1051</v>
      </c>
      <c r="F283" t="s">
        <v>1052</v>
      </c>
      <c r="G283" t="s">
        <v>1024</v>
      </c>
      <c r="H283">
        <v>6</v>
      </c>
      <c r="I283">
        <v>30</v>
      </c>
      <c r="J283" s="6">
        <v>30</v>
      </c>
      <c r="K283">
        <v>2.4</v>
      </c>
      <c r="L283" t="b">
        <v>0</v>
      </c>
      <c r="M283">
        <v>0.96</v>
      </c>
      <c r="N283" s="1">
        <v>0.96</v>
      </c>
      <c r="O283" t="s">
        <v>1042</v>
      </c>
      <c r="P283" t="s">
        <v>1025</v>
      </c>
      <c r="Q283">
        <v>11</v>
      </c>
      <c r="R283">
        <v>7</v>
      </c>
    </row>
    <row r="284" spans="1:18" x14ac:dyDescent="0.25">
      <c r="A284" t="s">
        <v>592</v>
      </c>
      <c r="B284" t="s">
        <v>591</v>
      </c>
      <c r="C284" t="s">
        <v>41</v>
      </c>
      <c r="D284">
        <v>42</v>
      </c>
      <c r="E284" t="s">
        <v>1032</v>
      </c>
      <c r="F284" t="s">
        <v>1033</v>
      </c>
      <c r="G284" t="s">
        <v>1027</v>
      </c>
      <c r="H284">
        <v>10</v>
      </c>
      <c r="I284" t="s">
        <v>259</v>
      </c>
      <c r="J284" s="6">
        <v>20</v>
      </c>
      <c r="K284">
        <v>2.4</v>
      </c>
      <c r="L284" t="b">
        <v>1</v>
      </c>
      <c r="M284">
        <v>0.92</v>
      </c>
      <c r="N284" s="1">
        <v>0.92</v>
      </c>
      <c r="O284" t="s">
        <v>1042</v>
      </c>
      <c r="P284" t="s">
        <v>1025</v>
      </c>
      <c r="Q284">
        <v>11</v>
      </c>
      <c r="R284">
        <v>6</v>
      </c>
    </row>
    <row r="285" spans="1:18" x14ac:dyDescent="0.25">
      <c r="A285" t="s">
        <v>594</v>
      </c>
      <c r="B285" t="s">
        <v>593</v>
      </c>
      <c r="C285" t="s">
        <v>41</v>
      </c>
      <c r="D285">
        <v>52</v>
      </c>
      <c r="E285" t="s">
        <v>1047</v>
      </c>
      <c r="F285" t="s">
        <v>1055</v>
      </c>
      <c r="G285" t="s">
        <v>1046</v>
      </c>
      <c r="H285">
        <v>20</v>
      </c>
      <c r="I285">
        <v>50</v>
      </c>
      <c r="J285" s="6">
        <v>50</v>
      </c>
      <c r="K285">
        <v>2.4</v>
      </c>
      <c r="L285" t="b">
        <v>0</v>
      </c>
      <c r="M285">
        <v>0.79</v>
      </c>
      <c r="N285" s="1">
        <v>0.79</v>
      </c>
      <c r="O285" t="s">
        <v>1020</v>
      </c>
      <c r="P285" t="s">
        <v>1038</v>
      </c>
      <c r="Q285">
        <v>14</v>
      </c>
      <c r="R285">
        <v>10</v>
      </c>
    </row>
    <row r="286" spans="1:18" x14ac:dyDescent="0.25">
      <c r="A286" t="s">
        <v>596</v>
      </c>
      <c r="B286" t="s">
        <v>595</v>
      </c>
      <c r="C286" t="s">
        <v>18</v>
      </c>
      <c r="D286">
        <v>55</v>
      </c>
      <c r="E286" t="s">
        <v>1048</v>
      </c>
      <c r="F286" t="s">
        <v>1049</v>
      </c>
      <c r="G286" t="s">
        <v>1029</v>
      </c>
      <c r="H286">
        <v>20</v>
      </c>
      <c r="I286">
        <v>75</v>
      </c>
      <c r="J286" s="6">
        <v>75</v>
      </c>
      <c r="K286">
        <v>2.9</v>
      </c>
      <c r="L286" t="b">
        <v>0</v>
      </c>
      <c r="N286" s="1">
        <v>0.78</v>
      </c>
      <c r="O286" t="s">
        <v>1034</v>
      </c>
      <c r="P286" t="s">
        <v>1038</v>
      </c>
      <c r="Q286">
        <v>12</v>
      </c>
      <c r="R286">
        <v>11</v>
      </c>
    </row>
    <row r="287" spans="1:18" x14ac:dyDescent="0.25">
      <c r="A287" t="s">
        <v>598</v>
      </c>
      <c r="B287" t="s">
        <v>597</v>
      </c>
      <c r="C287" t="s">
        <v>18</v>
      </c>
      <c r="D287">
        <v>58</v>
      </c>
      <c r="E287" t="s">
        <v>1063</v>
      </c>
      <c r="F287" t="s">
        <v>1064</v>
      </c>
      <c r="G287" t="s">
        <v>1046</v>
      </c>
      <c r="H287">
        <v>11</v>
      </c>
      <c r="I287">
        <v>50</v>
      </c>
      <c r="J287" s="6">
        <v>50</v>
      </c>
      <c r="K287">
        <v>0</v>
      </c>
      <c r="L287" t="b">
        <v>0</v>
      </c>
      <c r="N287" s="1">
        <v>0.78</v>
      </c>
      <c r="O287" t="s">
        <v>1042</v>
      </c>
      <c r="P287" t="s">
        <v>1025</v>
      </c>
      <c r="Q287">
        <v>8</v>
      </c>
      <c r="R287">
        <v>5</v>
      </c>
    </row>
    <row r="288" spans="1:18" x14ac:dyDescent="0.25">
      <c r="A288" t="s">
        <v>600</v>
      </c>
      <c r="B288" t="s">
        <v>599</v>
      </c>
      <c r="C288" t="s">
        <v>18</v>
      </c>
      <c r="D288">
        <v>46</v>
      </c>
      <c r="E288" t="s">
        <v>1047</v>
      </c>
      <c r="F288" t="s">
        <v>1055</v>
      </c>
      <c r="G288" t="s">
        <v>1031</v>
      </c>
      <c r="H288">
        <v>12</v>
      </c>
      <c r="I288">
        <v>20</v>
      </c>
      <c r="J288" s="6">
        <v>20</v>
      </c>
      <c r="K288">
        <v>0</v>
      </c>
      <c r="L288" t="b">
        <v>0</v>
      </c>
      <c r="M288">
        <v>0.89</v>
      </c>
      <c r="N288" s="1">
        <v>0.89</v>
      </c>
      <c r="O288" t="s">
        <v>1020</v>
      </c>
      <c r="P288" t="s">
        <v>1021</v>
      </c>
      <c r="Q288">
        <v>10</v>
      </c>
      <c r="R288">
        <v>4</v>
      </c>
    </row>
    <row r="289" spans="1:18" x14ac:dyDescent="0.25">
      <c r="A289" t="s">
        <v>602</v>
      </c>
      <c r="B289" t="s">
        <v>601</v>
      </c>
      <c r="C289" t="s">
        <v>18</v>
      </c>
      <c r="D289">
        <v>45</v>
      </c>
      <c r="E289" t="s">
        <v>1068</v>
      </c>
      <c r="F289" t="s">
        <v>1044</v>
      </c>
      <c r="G289" t="s">
        <v>1031</v>
      </c>
      <c r="H289">
        <v>1</v>
      </c>
      <c r="I289">
        <v>100</v>
      </c>
      <c r="J289" s="6">
        <v>100</v>
      </c>
      <c r="K289">
        <v>1.5</v>
      </c>
      <c r="L289" t="b">
        <v>1</v>
      </c>
      <c r="M289">
        <v>1</v>
      </c>
      <c r="N289" s="1">
        <v>1</v>
      </c>
      <c r="O289" t="s">
        <v>1034</v>
      </c>
      <c r="P289" t="s">
        <v>1025</v>
      </c>
      <c r="Q289">
        <v>4</v>
      </c>
      <c r="R289">
        <v>4</v>
      </c>
    </row>
    <row r="290" spans="1:18" x14ac:dyDescent="0.25">
      <c r="A290" t="s">
        <v>604</v>
      </c>
      <c r="B290" t="s">
        <v>603</v>
      </c>
      <c r="C290" t="s">
        <v>18</v>
      </c>
      <c r="D290">
        <v>56</v>
      </c>
      <c r="E290" t="s">
        <v>1051</v>
      </c>
      <c r="F290" t="s">
        <v>1052</v>
      </c>
      <c r="G290" t="s">
        <v>1031</v>
      </c>
      <c r="H290">
        <v>2</v>
      </c>
      <c r="I290">
        <v>30</v>
      </c>
      <c r="J290" s="6">
        <v>30</v>
      </c>
      <c r="K290">
        <v>1.9</v>
      </c>
      <c r="L290" t="b">
        <v>1</v>
      </c>
      <c r="M290">
        <v>0.81</v>
      </c>
      <c r="N290" s="1">
        <v>0.81</v>
      </c>
      <c r="O290" t="s">
        <v>1042</v>
      </c>
      <c r="P290" t="s">
        <v>1038</v>
      </c>
      <c r="Q290">
        <v>1</v>
      </c>
      <c r="R290">
        <v>1</v>
      </c>
    </row>
    <row r="291" spans="1:18" x14ac:dyDescent="0.25">
      <c r="A291" t="s">
        <v>606</v>
      </c>
      <c r="B291" t="s">
        <v>605</v>
      </c>
      <c r="C291" t="s">
        <v>41</v>
      </c>
      <c r="D291">
        <v>44</v>
      </c>
      <c r="E291" t="s">
        <v>45</v>
      </c>
      <c r="F291" t="s">
        <v>1023</v>
      </c>
      <c r="G291" t="s">
        <v>1019</v>
      </c>
      <c r="H291">
        <v>13</v>
      </c>
      <c r="I291">
        <v>100</v>
      </c>
      <c r="J291" s="6">
        <v>100</v>
      </c>
      <c r="K291">
        <v>3.1</v>
      </c>
      <c r="L291" t="b">
        <v>1</v>
      </c>
      <c r="M291">
        <v>95</v>
      </c>
      <c r="N291" s="1">
        <v>0.95</v>
      </c>
      <c r="O291" t="s">
        <v>1042</v>
      </c>
      <c r="P291" t="s">
        <v>1028</v>
      </c>
      <c r="Q291">
        <v>10</v>
      </c>
      <c r="R291">
        <v>3</v>
      </c>
    </row>
    <row r="292" spans="1:18" x14ac:dyDescent="0.25">
      <c r="A292" t="s">
        <v>608</v>
      </c>
      <c r="B292" t="s">
        <v>607</v>
      </c>
      <c r="C292" t="s">
        <v>41</v>
      </c>
      <c r="D292">
        <v>46</v>
      </c>
      <c r="E292" t="s">
        <v>1035</v>
      </c>
      <c r="F292" t="s">
        <v>1036</v>
      </c>
      <c r="G292" t="s">
        <v>1045</v>
      </c>
      <c r="H292">
        <v>0</v>
      </c>
      <c r="J292" s="6">
        <v>70</v>
      </c>
      <c r="K292">
        <v>1.8</v>
      </c>
      <c r="L292" t="b">
        <v>0</v>
      </c>
      <c r="M292">
        <v>0.88</v>
      </c>
      <c r="N292" s="1">
        <v>0.88</v>
      </c>
      <c r="O292" t="s">
        <v>1034</v>
      </c>
      <c r="P292" t="s">
        <v>1028</v>
      </c>
      <c r="Q292">
        <v>3</v>
      </c>
      <c r="R292">
        <v>2</v>
      </c>
    </row>
    <row r="293" spans="1:18" x14ac:dyDescent="0.25">
      <c r="A293" t="s">
        <v>610</v>
      </c>
      <c r="B293" t="s">
        <v>609</v>
      </c>
      <c r="C293" t="s">
        <v>18</v>
      </c>
      <c r="D293">
        <v>27</v>
      </c>
      <c r="E293" t="s">
        <v>1048</v>
      </c>
      <c r="F293" t="s">
        <v>1049</v>
      </c>
      <c r="G293" t="s">
        <v>1029</v>
      </c>
      <c r="H293">
        <v>7</v>
      </c>
      <c r="I293">
        <v>30</v>
      </c>
      <c r="J293" s="6">
        <v>30</v>
      </c>
      <c r="K293">
        <v>2.4</v>
      </c>
      <c r="L293" t="b">
        <v>1</v>
      </c>
      <c r="M293">
        <v>0.66</v>
      </c>
      <c r="N293" s="1">
        <v>0.66</v>
      </c>
      <c r="O293" t="s">
        <v>1034</v>
      </c>
      <c r="P293" t="s">
        <v>1021</v>
      </c>
      <c r="Q293">
        <v>12</v>
      </c>
      <c r="R293">
        <v>8</v>
      </c>
    </row>
    <row r="294" spans="1:18" x14ac:dyDescent="0.25">
      <c r="A294" t="s">
        <v>612</v>
      </c>
      <c r="B294" t="s">
        <v>611</v>
      </c>
      <c r="C294" t="s">
        <v>18</v>
      </c>
      <c r="D294">
        <v>49</v>
      </c>
      <c r="E294" t="s">
        <v>1051</v>
      </c>
      <c r="F294" t="s">
        <v>1052</v>
      </c>
      <c r="G294" t="s">
        <v>1019</v>
      </c>
      <c r="H294">
        <v>13</v>
      </c>
      <c r="I294">
        <v>100</v>
      </c>
      <c r="J294" s="6">
        <v>100</v>
      </c>
      <c r="K294">
        <v>4.2</v>
      </c>
      <c r="L294" t="b">
        <v>1</v>
      </c>
      <c r="M294">
        <v>0.84</v>
      </c>
      <c r="N294" s="1">
        <v>0.84</v>
      </c>
      <c r="O294" t="s">
        <v>1034</v>
      </c>
      <c r="P294" t="s">
        <v>1025</v>
      </c>
      <c r="Q294">
        <v>7</v>
      </c>
      <c r="R294">
        <v>4</v>
      </c>
    </row>
    <row r="295" spans="1:18" x14ac:dyDescent="0.25">
      <c r="A295" t="s">
        <v>614</v>
      </c>
      <c r="B295" t="s">
        <v>613</v>
      </c>
      <c r="C295" t="s">
        <v>41</v>
      </c>
      <c r="D295">
        <v>53</v>
      </c>
      <c r="E295" t="s">
        <v>1067</v>
      </c>
      <c r="F295" t="s">
        <v>1044</v>
      </c>
      <c r="G295" t="s">
        <v>1029</v>
      </c>
      <c r="H295">
        <v>21</v>
      </c>
      <c r="I295" t="s">
        <v>42</v>
      </c>
      <c r="J295" s="6">
        <v>50</v>
      </c>
      <c r="K295">
        <v>1.4</v>
      </c>
      <c r="L295" t="b">
        <v>0</v>
      </c>
      <c r="N295" s="1">
        <v>0.78</v>
      </c>
      <c r="O295" t="s">
        <v>1042</v>
      </c>
      <c r="P295" t="s">
        <v>1028</v>
      </c>
      <c r="Q295">
        <v>20</v>
      </c>
      <c r="R295">
        <v>7</v>
      </c>
    </row>
    <row r="296" spans="1:18" x14ac:dyDescent="0.25">
      <c r="A296" t="s">
        <v>616</v>
      </c>
      <c r="B296" t="s">
        <v>615</v>
      </c>
      <c r="C296" t="s">
        <v>41</v>
      </c>
      <c r="D296">
        <v>56</v>
      </c>
      <c r="E296" t="s">
        <v>1022</v>
      </c>
      <c r="F296" t="s">
        <v>1023</v>
      </c>
      <c r="G296" t="s">
        <v>1029</v>
      </c>
      <c r="H296">
        <v>19</v>
      </c>
      <c r="I296">
        <v>40</v>
      </c>
      <c r="J296" s="6">
        <v>40</v>
      </c>
      <c r="K296">
        <v>1.2</v>
      </c>
      <c r="L296" t="b">
        <v>1</v>
      </c>
      <c r="M296">
        <v>0.82</v>
      </c>
      <c r="N296" s="1">
        <v>0.82</v>
      </c>
      <c r="O296" t="s">
        <v>1042</v>
      </c>
      <c r="P296" t="s">
        <v>1025</v>
      </c>
      <c r="Q296">
        <v>11</v>
      </c>
      <c r="R296">
        <v>3</v>
      </c>
    </row>
    <row r="297" spans="1:18" x14ac:dyDescent="0.25">
      <c r="A297" t="s">
        <v>618</v>
      </c>
      <c r="B297" t="s">
        <v>617</v>
      </c>
      <c r="C297" t="s">
        <v>18</v>
      </c>
      <c r="D297">
        <v>56</v>
      </c>
      <c r="E297" t="s">
        <v>45</v>
      </c>
      <c r="F297" t="s">
        <v>1023</v>
      </c>
      <c r="G297" t="s">
        <v>1050</v>
      </c>
      <c r="H297">
        <v>34</v>
      </c>
      <c r="J297" s="6">
        <v>70</v>
      </c>
      <c r="K297">
        <v>2.1</v>
      </c>
      <c r="L297" t="b">
        <v>1</v>
      </c>
      <c r="M297">
        <v>0.84</v>
      </c>
      <c r="N297" s="1">
        <v>0.84</v>
      </c>
      <c r="O297" t="s">
        <v>1020</v>
      </c>
      <c r="P297" t="s">
        <v>1038</v>
      </c>
      <c r="Q297">
        <v>17</v>
      </c>
      <c r="R297">
        <v>11</v>
      </c>
    </row>
    <row r="298" spans="1:18" x14ac:dyDescent="0.25">
      <c r="A298" t="s">
        <v>620</v>
      </c>
      <c r="B298" t="s">
        <v>619</v>
      </c>
      <c r="C298" t="s">
        <v>41</v>
      </c>
      <c r="D298">
        <v>38</v>
      </c>
      <c r="E298" t="s">
        <v>1063</v>
      </c>
      <c r="F298" t="s">
        <v>1064</v>
      </c>
      <c r="G298" t="s">
        <v>1037</v>
      </c>
      <c r="H298">
        <v>3</v>
      </c>
      <c r="I298">
        <v>100</v>
      </c>
      <c r="J298" s="6">
        <v>100</v>
      </c>
      <c r="K298">
        <v>1.4</v>
      </c>
      <c r="L298" t="b">
        <v>0</v>
      </c>
      <c r="M298">
        <v>0.73</v>
      </c>
      <c r="N298" s="1">
        <v>0.73</v>
      </c>
      <c r="O298" t="s">
        <v>1041</v>
      </c>
      <c r="P298" t="s">
        <v>1028</v>
      </c>
      <c r="Q298">
        <v>3</v>
      </c>
      <c r="R298">
        <v>5</v>
      </c>
    </row>
    <row r="299" spans="1:18" x14ac:dyDescent="0.25">
      <c r="A299" t="s">
        <v>622</v>
      </c>
      <c r="B299" t="s">
        <v>621</v>
      </c>
      <c r="C299" t="s">
        <v>41</v>
      </c>
      <c r="D299">
        <v>20</v>
      </c>
      <c r="E299" t="s">
        <v>1047</v>
      </c>
      <c r="F299" t="s">
        <v>1055</v>
      </c>
      <c r="G299" t="s">
        <v>1024</v>
      </c>
      <c r="H299">
        <v>0</v>
      </c>
      <c r="I299">
        <v>30</v>
      </c>
      <c r="J299" s="6">
        <v>30</v>
      </c>
      <c r="K299">
        <v>3.8</v>
      </c>
      <c r="L299" t="b">
        <v>0</v>
      </c>
      <c r="M299">
        <v>0.93</v>
      </c>
      <c r="N299" s="1">
        <v>0.93</v>
      </c>
      <c r="O299" t="s">
        <v>1034</v>
      </c>
      <c r="P299" t="s">
        <v>1021</v>
      </c>
      <c r="Q299">
        <v>5</v>
      </c>
      <c r="R299">
        <v>2</v>
      </c>
    </row>
    <row r="300" spans="1:18" x14ac:dyDescent="0.25">
      <c r="A300" t="s">
        <v>624</v>
      </c>
      <c r="B300" t="s">
        <v>623</v>
      </c>
      <c r="C300" t="s">
        <v>18</v>
      </c>
      <c r="D300">
        <v>38</v>
      </c>
      <c r="E300" t="s">
        <v>1058</v>
      </c>
      <c r="F300" t="s">
        <v>1023</v>
      </c>
      <c r="G300" t="s">
        <v>1031</v>
      </c>
      <c r="H300">
        <v>20</v>
      </c>
      <c r="I300">
        <v>50</v>
      </c>
      <c r="J300" s="6">
        <v>50</v>
      </c>
      <c r="K300">
        <v>0</v>
      </c>
      <c r="L300" t="b">
        <v>0</v>
      </c>
      <c r="M300">
        <v>0.64</v>
      </c>
      <c r="N300" s="1">
        <v>0.64</v>
      </c>
      <c r="O300" t="s">
        <v>1042</v>
      </c>
      <c r="P300" t="s">
        <v>1038</v>
      </c>
      <c r="Q300">
        <v>10</v>
      </c>
      <c r="R300">
        <v>2</v>
      </c>
    </row>
    <row r="301" spans="1:18" x14ac:dyDescent="0.25">
      <c r="A301" t="s">
        <v>626</v>
      </c>
      <c r="B301" t="s">
        <v>625</v>
      </c>
      <c r="C301" t="s">
        <v>18</v>
      </c>
      <c r="D301">
        <v>41</v>
      </c>
      <c r="E301" t="s">
        <v>1032</v>
      </c>
      <c r="F301" t="s">
        <v>1033</v>
      </c>
      <c r="G301" t="s">
        <v>1024</v>
      </c>
      <c r="H301">
        <v>6</v>
      </c>
      <c r="I301">
        <v>40</v>
      </c>
      <c r="J301" s="6">
        <v>40</v>
      </c>
      <c r="K301">
        <v>3.5</v>
      </c>
      <c r="L301" t="b">
        <v>0</v>
      </c>
      <c r="M301">
        <v>0.76</v>
      </c>
      <c r="N301" s="1">
        <v>0.76</v>
      </c>
      <c r="O301" t="s">
        <v>1042</v>
      </c>
      <c r="P301" t="s">
        <v>1021</v>
      </c>
      <c r="Q301">
        <v>15</v>
      </c>
      <c r="R301">
        <v>6</v>
      </c>
    </row>
    <row r="302" spans="1:18" x14ac:dyDescent="0.25">
      <c r="A302" t="s">
        <v>628</v>
      </c>
      <c r="B302" t="s">
        <v>627</v>
      </c>
      <c r="C302" t="s">
        <v>41</v>
      </c>
      <c r="D302">
        <v>46</v>
      </c>
      <c r="E302" t="s">
        <v>1051</v>
      </c>
      <c r="F302" t="s">
        <v>1052</v>
      </c>
      <c r="G302" t="s">
        <v>1031</v>
      </c>
      <c r="H302">
        <v>13</v>
      </c>
      <c r="I302" t="s">
        <v>174</v>
      </c>
      <c r="J302" s="6">
        <v>100</v>
      </c>
      <c r="K302">
        <v>0</v>
      </c>
      <c r="L302" t="b">
        <v>1</v>
      </c>
      <c r="M302">
        <v>0.97</v>
      </c>
      <c r="N302" s="1">
        <v>0.97</v>
      </c>
      <c r="O302" t="s">
        <v>1034</v>
      </c>
      <c r="P302" t="s">
        <v>1038</v>
      </c>
      <c r="Q302">
        <v>9</v>
      </c>
      <c r="R302">
        <v>12</v>
      </c>
    </row>
    <row r="303" spans="1:18" x14ac:dyDescent="0.25">
      <c r="A303" t="s">
        <v>630</v>
      </c>
      <c r="B303" t="s">
        <v>629</v>
      </c>
      <c r="C303" t="s">
        <v>41</v>
      </c>
      <c r="D303">
        <v>36</v>
      </c>
      <c r="E303" t="s">
        <v>1063</v>
      </c>
      <c r="F303" t="s">
        <v>1064</v>
      </c>
      <c r="G303" t="s">
        <v>1037</v>
      </c>
      <c r="H303">
        <v>9</v>
      </c>
      <c r="I303">
        <v>75</v>
      </c>
      <c r="J303" s="6">
        <v>75</v>
      </c>
      <c r="K303">
        <v>2.2000000000000002</v>
      </c>
      <c r="L303" t="b">
        <v>0</v>
      </c>
      <c r="M303">
        <v>0.95</v>
      </c>
      <c r="N303" s="1">
        <v>0.95</v>
      </c>
      <c r="O303" t="s">
        <v>1041</v>
      </c>
      <c r="P303" t="s">
        <v>1028</v>
      </c>
      <c r="Q303">
        <v>11</v>
      </c>
      <c r="R303">
        <v>1</v>
      </c>
    </row>
    <row r="304" spans="1:18" x14ac:dyDescent="0.25">
      <c r="A304" t="s">
        <v>1071</v>
      </c>
      <c r="B304" t="s">
        <v>631</v>
      </c>
      <c r="C304" t="s">
        <v>41</v>
      </c>
      <c r="D304">
        <v>33</v>
      </c>
      <c r="E304" t="s">
        <v>1056</v>
      </c>
      <c r="F304" t="s">
        <v>1057</v>
      </c>
      <c r="G304" t="s">
        <v>1029</v>
      </c>
      <c r="H304">
        <v>2</v>
      </c>
      <c r="I304">
        <v>75</v>
      </c>
      <c r="J304" s="6">
        <v>75</v>
      </c>
      <c r="K304">
        <v>2.4</v>
      </c>
      <c r="L304" t="b">
        <v>0</v>
      </c>
      <c r="M304">
        <v>0.65</v>
      </c>
      <c r="N304" s="1">
        <v>0.65</v>
      </c>
      <c r="O304" t="s">
        <v>1034</v>
      </c>
      <c r="P304" t="s">
        <v>1021</v>
      </c>
      <c r="Q304">
        <v>4</v>
      </c>
      <c r="R304">
        <v>1</v>
      </c>
    </row>
    <row r="305" spans="1:18" x14ac:dyDescent="0.25">
      <c r="A305" t="s">
        <v>633</v>
      </c>
      <c r="B305" t="s">
        <v>632</v>
      </c>
      <c r="C305" t="s">
        <v>18</v>
      </c>
      <c r="D305">
        <v>37</v>
      </c>
      <c r="E305" t="s">
        <v>1058</v>
      </c>
      <c r="F305" t="s">
        <v>1023</v>
      </c>
      <c r="G305" t="s">
        <v>1027</v>
      </c>
      <c r="H305">
        <v>0</v>
      </c>
      <c r="I305" t="s">
        <v>62</v>
      </c>
      <c r="J305" s="6">
        <v>50</v>
      </c>
      <c r="K305">
        <v>4.7</v>
      </c>
      <c r="L305" t="b">
        <v>0</v>
      </c>
      <c r="M305">
        <v>0.77</v>
      </c>
      <c r="N305" s="1">
        <v>0.77</v>
      </c>
      <c r="O305" t="s">
        <v>1041</v>
      </c>
      <c r="P305" t="s">
        <v>1021</v>
      </c>
      <c r="Q305">
        <v>3</v>
      </c>
      <c r="R305">
        <v>2</v>
      </c>
    </row>
    <row r="306" spans="1:18" x14ac:dyDescent="0.25">
      <c r="A306" t="s">
        <v>635</v>
      </c>
      <c r="B306" t="s">
        <v>634</v>
      </c>
      <c r="C306" t="s">
        <v>41</v>
      </c>
      <c r="D306">
        <v>20</v>
      </c>
      <c r="E306" t="s">
        <v>1061</v>
      </c>
      <c r="F306" t="s">
        <v>1062</v>
      </c>
      <c r="G306" t="s">
        <v>1037</v>
      </c>
      <c r="H306">
        <v>0</v>
      </c>
      <c r="I306">
        <v>20</v>
      </c>
      <c r="J306" s="6">
        <v>20</v>
      </c>
      <c r="K306">
        <v>3.9</v>
      </c>
      <c r="L306" t="b">
        <v>0</v>
      </c>
      <c r="N306" s="1">
        <v>0.78</v>
      </c>
      <c r="O306" t="s">
        <v>1042</v>
      </c>
      <c r="P306" t="s">
        <v>1038</v>
      </c>
      <c r="Q306">
        <v>1</v>
      </c>
      <c r="R306">
        <v>1</v>
      </c>
    </row>
    <row r="307" spans="1:18" x14ac:dyDescent="0.25">
      <c r="A307" t="s">
        <v>637</v>
      </c>
      <c r="B307" t="s">
        <v>636</v>
      </c>
      <c r="C307" t="s">
        <v>18</v>
      </c>
      <c r="D307">
        <v>48</v>
      </c>
      <c r="E307" t="s">
        <v>1065</v>
      </c>
      <c r="F307" t="s">
        <v>1066</v>
      </c>
      <c r="G307" t="s">
        <v>1037</v>
      </c>
      <c r="H307">
        <v>2</v>
      </c>
      <c r="I307">
        <v>75</v>
      </c>
      <c r="J307" s="6">
        <v>75</v>
      </c>
      <c r="K307">
        <v>1.6</v>
      </c>
      <c r="L307" t="b">
        <v>0</v>
      </c>
      <c r="M307">
        <v>0.67</v>
      </c>
      <c r="N307" s="1">
        <v>0.67</v>
      </c>
      <c r="O307" t="s">
        <v>1041</v>
      </c>
      <c r="P307" t="s">
        <v>1021</v>
      </c>
      <c r="Q307">
        <v>5</v>
      </c>
      <c r="R307">
        <v>2</v>
      </c>
    </row>
    <row r="308" spans="1:18" x14ac:dyDescent="0.25">
      <c r="A308" t="s">
        <v>639</v>
      </c>
      <c r="B308" t="s">
        <v>638</v>
      </c>
      <c r="C308" t="s">
        <v>41</v>
      </c>
      <c r="D308">
        <v>27</v>
      </c>
      <c r="E308" t="s">
        <v>1059</v>
      </c>
      <c r="F308" t="s">
        <v>1060</v>
      </c>
      <c r="G308" t="s">
        <v>1046</v>
      </c>
      <c r="H308">
        <v>2</v>
      </c>
      <c r="I308" t="s">
        <v>42</v>
      </c>
      <c r="J308" s="6">
        <v>50</v>
      </c>
      <c r="K308">
        <v>2.4</v>
      </c>
      <c r="L308" t="b">
        <v>0</v>
      </c>
      <c r="M308">
        <v>0.84</v>
      </c>
      <c r="N308" s="1">
        <v>0.84</v>
      </c>
      <c r="O308" t="s">
        <v>1020</v>
      </c>
      <c r="P308" t="s">
        <v>1038</v>
      </c>
      <c r="Q308">
        <v>2</v>
      </c>
      <c r="R308">
        <v>3</v>
      </c>
    </row>
    <row r="309" spans="1:18" x14ac:dyDescent="0.25">
      <c r="A309" t="s">
        <v>641</v>
      </c>
      <c r="B309" t="s">
        <v>640</v>
      </c>
      <c r="C309" t="s">
        <v>41</v>
      </c>
      <c r="D309">
        <v>34</v>
      </c>
      <c r="E309" t="s">
        <v>1047</v>
      </c>
      <c r="F309" t="s">
        <v>1055</v>
      </c>
      <c r="G309" t="s">
        <v>1024</v>
      </c>
      <c r="H309">
        <v>1</v>
      </c>
      <c r="I309">
        <v>30</v>
      </c>
      <c r="J309" s="6">
        <v>30</v>
      </c>
      <c r="K309">
        <v>3.6</v>
      </c>
      <c r="L309" t="b">
        <v>1</v>
      </c>
      <c r="M309">
        <v>0.87</v>
      </c>
      <c r="N309" s="1">
        <v>0.87</v>
      </c>
      <c r="O309" t="s">
        <v>1042</v>
      </c>
      <c r="P309" t="s">
        <v>1038</v>
      </c>
      <c r="Q309">
        <v>2</v>
      </c>
      <c r="R309">
        <v>2</v>
      </c>
    </row>
    <row r="310" spans="1:18" x14ac:dyDescent="0.25">
      <c r="A310" t="s">
        <v>643</v>
      </c>
      <c r="B310" t="s">
        <v>642</v>
      </c>
      <c r="C310" t="s">
        <v>41</v>
      </c>
      <c r="D310">
        <v>55</v>
      </c>
      <c r="E310" t="s">
        <v>1053</v>
      </c>
      <c r="F310" t="s">
        <v>1054</v>
      </c>
      <c r="G310" t="s">
        <v>1031</v>
      </c>
      <c r="H310">
        <v>14</v>
      </c>
      <c r="I310" t="s">
        <v>71</v>
      </c>
      <c r="J310" s="6">
        <v>30</v>
      </c>
      <c r="K310">
        <v>1.2</v>
      </c>
      <c r="L310" t="b">
        <v>1</v>
      </c>
      <c r="M310">
        <v>0.91</v>
      </c>
      <c r="N310" s="1">
        <v>0.91</v>
      </c>
      <c r="O310" t="s">
        <v>1020</v>
      </c>
      <c r="P310" t="s">
        <v>1038</v>
      </c>
      <c r="Q310">
        <v>7</v>
      </c>
      <c r="R310">
        <v>6</v>
      </c>
    </row>
    <row r="311" spans="1:18" x14ac:dyDescent="0.25">
      <c r="A311" t="s">
        <v>645</v>
      </c>
      <c r="B311" t="s">
        <v>644</v>
      </c>
      <c r="C311" t="s">
        <v>18</v>
      </c>
      <c r="D311">
        <v>44</v>
      </c>
      <c r="E311" t="s">
        <v>1063</v>
      </c>
      <c r="F311" t="s">
        <v>1064</v>
      </c>
      <c r="G311" t="s">
        <v>1031</v>
      </c>
      <c r="H311">
        <v>14</v>
      </c>
      <c r="I311" t="s">
        <v>32</v>
      </c>
      <c r="J311" s="6">
        <v>75</v>
      </c>
      <c r="K311">
        <v>3</v>
      </c>
      <c r="L311" t="b">
        <v>0</v>
      </c>
      <c r="M311">
        <v>0.78</v>
      </c>
      <c r="N311" s="1">
        <v>0.78</v>
      </c>
      <c r="O311" t="s">
        <v>1034</v>
      </c>
      <c r="P311" t="s">
        <v>1038</v>
      </c>
      <c r="Q311">
        <v>13</v>
      </c>
      <c r="R311">
        <v>6</v>
      </c>
    </row>
    <row r="312" spans="1:18" x14ac:dyDescent="0.25">
      <c r="A312" t="s">
        <v>647</v>
      </c>
      <c r="B312" t="s">
        <v>646</v>
      </c>
      <c r="C312" t="s">
        <v>41</v>
      </c>
      <c r="D312">
        <v>31</v>
      </c>
      <c r="E312" t="s">
        <v>1032</v>
      </c>
      <c r="F312" t="s">
        <v>1033</v>
      </c>
      <c r="G312" t="s">
        <v>1045</v>
      </c>
      <c r="H312">
        <v>2</v>
      </c>
      <c r="I312">
        <v>50</v>
      </c>
      <c r="J312" s="6">
        <v>50</v>
      </c>
      <c r="K312">
        <v>3.9</v>
      </c>
      <c r="L312" t="b">
        <v>0</v>
      </c>
      <c r="N312" s="1">
        <v>0.78</v>
      </c>
      <c r="O312" t="s">
        <v>1034</v>
      </c>
      <c r="P312" t="s">
        <v>1028</v>
      </c>
      <c r="Q312">
        <v>4</v>
      </c>
      <c r="R312">
        <v>1</v>
      </c>
    </row>
    <row r="313" spans="1:18" x14ac:dyDescent="0.25">
      <c r="A313" t="s">
        <v>649</v>
      </c>
      <c r="B313" t="s">
        <v>648</v>
      </c>
      <c r="C313" t="s">
        <v>41</v>
      </c>
      <c r="D313">
        <v>34</v>
      </c>
      <c r="E313" t="s">
        <v>1022</v>
      </c>
      <c r="F313" t="s">
        <v>1023</v>
      </c>
      <c r="G313" t="s">
        <v>1050</v>
      </c>
      <c r="H313">
        <v>1</v>
      </c>
      <c r="I313">
        <v>40</v>
      </c>
      <c r="J313" s="6">
        <v>40</v>
      </c>
      <c r="K313">
        <v>1.7</v>
      </c>
      <c r="L313" t="b">
        <v>0</v>
      </c>
      <c r="M313">
        <v>74</v>
      </c>
      <c r="N313" s="1">
        <v>0.74</v>
      </c>
      <c r="O313" t="s">
        <v>1034</v>
      </c>
      <c r="P313" t="s">
        <v>1038</v>
      </c>
      <c r="Q313">
        <v>4</v>
      </c>
      <c r="R313">
        <v>4</v>
      </c>
    </row>
    <row r="314" spans="1:18" x14ac:dyDescent="0.25">
      <c r="A314" t="s">
        <v>651</v>
      </c>
      <c r="B314" t="s">
        <v>650</v>
      </c>
      <c r="C314" t="s">
        <v>18</v>
      </c>
      <c r="D314">
        <v>47</v>
      </c>
      <c r="E314" t="s">
        <v>1053</v>
      </c>
      <c r="F314" t="s">
        <v>1054</v>
      </c>
      <c r="G314" t="s">
        <v>1050</v>
      </c>
      <c r="H314">
        <v>13</v>
      </c>
      <c r="I314">
        <v>20</v>
      </c>
      <c r="J314" s="6">
        <v>20</v>
      </c>
      <c r="K314">
        <v>4.5</v>
      </c>
      <c r="L314" t="b">
        <v>0</v>
      </c>
      <c r="M314">
        <v>0.91</v>
      </c>
      <c r="N314" s="1">
        <v>0.91</v>
      </c>
      <c r="O314" t="s">
        <v>1041</v>
      </c>
      <c r="P314" t="s">
        <v>1025</v>
      </c>
      <c r="Q314">
        <v>7</v>
      </c>
      <c r="R314">
        <v>6</v>
      </c>
    </row>
    <row r="315" spans="1:18" x14ac:dyDescent="0.25">
      <c r="A315" t="s">
        <v>653</v>
      </c>
      <c r="B315" t="s">
        <v>652</v>
      </c>
      <c r="C315" t="s">
        <v>41</v>
      </c>
      <c r="D315">
        <v>50</v>
      </c>
      <c r="E315" t="s">
        <v>38</v>
      </c>
      <c r="F315" t="s">
        <v>1023</v>
      </c>
      <c r="G315" t="s">
        <v>1027</v>
      </c>
      <c r="H315">
        <v>23</v>
      </c>
      <c r="I315" t="s">
        <v>24</v>
      </c>
      <c r="J315" s="6">
        <v>40</v>
      </c>
      <c r="K315">
        <v>3.6</v>
      </c>
      <c r="L315" t="b">
        <v>1</v>
      </c>
      <c r="M315">
        <v>0.71</v>
      </c>
      <c r="N315" s="1">
        <v>0.71</v>
      </c>
      <c r="O315" t="s">
        <v>1042</v>
      </c>
      <c r="P315" t="s">
        <v>1021</v>
      </c>
      <c r="Q315">
        <v>12</v>
      </c>
      <c r="R315">
        <v>9</v>
      </c>
    </row>
    <row r="316" spans="1:18" x14ac:dyDescent="0.25">
      <c r="A316" t="s">
        <v>655</v>
      </c>
      <c r="B316" t="s">
        <v>654</v>
      </c>
      <c r="C316" t="s">
        <v>41</v>
      </c>
      <c r="D316">
        <v>39</v>
      </c>
      <c r="E316" t="s">
        <v>1026</v>
      </c>
      <c r="F316" t="s">
        <v>1026</v>
      </c>
      <c r="G316" t="s">
        <v>1046</v>
      </c>
      <c r="H316">
        <v>10</v>
      </c>
      <c r="I316" t="s">
        <v>32</v>
      </c>
      <c r="J316" s="6">
        <v>75</v>
      </c>
      <c r="K316">
        <v>3.6</v>
      </c>
      <c r="L316" t="b">
        <v>1</v>
      </c>
      <c r="M316">
        <v>0.87</v>
      </c>
      <c r="N316" s="1">
        <v>0.87</v>
      </c>
      <c r="O316" t="s">
        <v>1034</v>
      </c>
      <c r="P316" t="s">
        <v>1025</v>
      </c>
      <c r="Q316">
        <v>5</v>
      </c>
      <c r="R316">
        <v>1</v>
      </c>
    </row>
    <row r="317" spans="1:18" x14ac:dyDescent="0.25">
      <c r="A317" t="s">
        <v>657</v>
      </c>
      <c r="B317" t="s">
        <v>656</v>
      </c>
      <c r="C317" t="s">
        <v>18</v>
      </c>
      <c r="D317">
        <v>26</v>
      </c>
      <c r="E317" t="s">
        <v>1043</v>
      </c>
      <c r="F317" t="s">
        <v>1044</v>
      </c>
      <c r="G317" t="s">
        <v>1019</v>
      </c>
      <c r="H317">
        <v>3</v>
      </c>
      <c r="I317" t="s">
        <v>19</v>
      </c>
      <c r="J317" s="6">
        <v>100</v>
      </c>
      <c r="K317">
        <v>2.8</v>
      </c>
      <c r="L317" t="b">
        <v>1</v>
      </c>
      <c r="M317">
        <v>0.61</v>
      </c>
      <c r="N317" s="1">
        <v>0.61</v>
      </c>
      <c r="O317" t="s">
        <v>1034</v>
      </c>
      <c r="P317" t="s">
        <v>1028</v>
      </c>
      <c r="Q317">
        <v>1</v>
      </c>
      <c r="R317">
        <v>1</v>
      </c>
    </row>
    <row r="318" spans="1:18" x14ac:dyDescent="0.25">
      <c r="A318" t="s">
        <v>659</v>
      </c>
      <c r="B318" t="s">
        <v>658</v>
      </c>
      <c r="C318" t="s">
        <v>41</v>
      </c>
      <c r="D318">
        <v>41</v>
      </c>
      <c r="E318" t="s">
        <v>1032</v>
      </c>
      <c r="F318" t="s">
        <v>1033</v>
      </c>
      <c r="G318" t="s">
        <v>1050</v>
      </c>
      <c r="H318">
        <v>0</v>
      </c>
      <c r="I318" t="s">
        <v>174</v>
      </c>
      <c r="J318" s="6">
        <v>100</v>
      </c>
      <c r="K318">
        <v>5</v>
      </c>
      <c r="L318" t="b">
        <v>0</v>
      </c>
      <c r="N318" s="1">
        <v>0.78</v>
      </c>
      <c r="O318" t="s">
        <v>1042</v>
      </c>
      <c r="P318" t="s">
        <v>1025</v>
      </c>
      <c r="Q318">
        <v>1</v>
      </c>
      <c r="R318">
        <v>4</v>
      </c>
    </row>
    <row r="319" spans="1:18" x14ac:dyDescent="0.25">
      <c r="A319" t="s">
        <v>661</v>
      </c>
      <c r="B319" t="s">
        <v>660</v>
      </c>
      <c r="C319" t="s">
        <v>41</v>
      </c>
      <c r="D319">
        <v>32</v>
      </c>
      <c r="E319" t="s">
        <v>1026</v>
      </c>
      <c r="F319" t="s">
        <v>1026</v>
      </c>
      <c r="G319" t="s">
        <v>1027</v>
      </c>
      <c r="H319">
        <v>0</v>
      </c>
      <c r="I319">
        <v>100</v>
      </c>
      <c r="J319" s="6">
        <v>100</v>
      </c>
      <c r="K319">
        <v>1.4</v>
      </c>
      <c r="L319" t="b">
        <v>1</v>
      </c>
      <c r="M319">
        <v>0.81</v>
      </c>
      <c r="N319" s="1">
        <v>0.81</v>
      </c>
      <c r="O319" t="s">
        <v>1034</v>
      </c>
      <c r="P319" t="s">
        <v>1021</v>
      </c>
      <c r="Q319">
        <v>2</v>
      </c>
      <c r="R319">
        <v>1</v>
      </c>
    </row>
    <row r="320" spans="1:18" x14ac:dyDescent="0.25">
      <c r="A320" t="s">
        <v>663</v>
      </c>
      <c r="B320" t="s">
        <v>662</v>
      </c>
      <c r="C320" t="s">
        <v>18</v>
      </c>
      <c r="D320">
        <v>55</v>
      </c>
      <c r="E320" t="s">
        <v>1056</v>
      </c>
      <c r="F320" t="s">
        <v>1057</v>
      </c>
      <c r="G320" t="s">
        <v>1037</v>
      </c>
      <c r="H320">
        <v>17</v>
      </c>
      <c r="I320">
        <v>30</v>
      </c>
      <c r="J320" s="6">
        <v>30</v>
      </c>
      <c r="K320">
        <v>2.4</v>
      </c>
      <c r="L320" t="b">
        <v>0</v>
      </c>
      <c r="N320" s="1">
        <v>0.78</v>
      </c>
      <c r="O320" t="s">
        <v>1020</v>
      </c>
      <c r="P320" t="s">
        <v>1025</v>
      </c>
      <c r="Q320">
        <v>18</v>
      </c>
      <c r="R320">
        <v>13</v>
      </c>
    </row>
    <row r="321" spans="1:18" x14ac:dyDescent="0.25">
      <c r="A321" t="s">
        <v>665</v>
      </c>
      <c r="B321" t="s">
        <v>664</v>
      </c>
      <c r="C321" t="s">
        <v>41</v>
      </c>
      <c r="D321">
        <v>32</v>
      </c>
      <c r="E321" t="s">
        <v>1043</v>
      </c>
      <c r="F321" t="s">
        <v>1044</v>
      </c>
      <c r="G321" t="s">
        <v>1031</v>
      </c>
      <c r="H321">
        <v>9</v>
      </c>
      <c r="I321" t="s">
        <v>35</v>
      </c>
      <c r="J321" s="6">
        <v>40</v>
      </c>
      <c r="K321">
        <v>4.5999999999999996</v>
      </c>
      <c r="L321" t="b">
        <v>1</v>
      </c>
      <c r="M321">
        <v>0.84</v>
      </c>
      <c r="N321" s="1">
        <v>0.84</v>
      </c>
      <c r="O321" t="s">
        <v>1042</v>
      </c>
      <c r="P321" t="s">
        <v>1028</v>
      </c>
      <c r="Q321">
        <v>9</v>
      </c>
      <c r="R321">
        <v>2</v>
      </c>
    </row>
    <row r="322" spans="1:18" x14ac:dyDescent="0.25">
      <c r="A322" t="s">
        <v>667</v>
      </c>
      <c r="B322" t="s">
        <v>666</v>
      </c>
      <c r="C322" t="s">
        <v>41</v>
      </c>
      <c r="D322">
        <v>30</v>
      </c>
      <c r="E322" t="s">
        <v>1047</v>
      </c>
      <c r="F322" t="s">
        <v>1055</v>
      </c>
      <c r="G322" t="s">
        <v>1019</v>
      </c>
      <c r="H322">
        <v>4</v>
      </c>
      <c r="I322" t="s">
        <v>80</v>
      </c>
      <c r="J322" s="6">
        <v>20</v>
      </c>
      <c r="K322">
        <v>3.3</v>
      </c>
      <c r="L322" t="b">
        <v>0</v>
      </c>
      <c r="N322" s="1">
        <v>0.78</v>
      </c>
      <c r="O322" t="s">
        <v>1042</v>
      </c>
      <c r="P322" t="s">
        <v>1038</v>
      </c>
      <c r="Q322">
        <v>4</v>
      </c>
      <c r="R322">
        <v>4</v>
      </c>
    </row>
    <row r="323" spans="1:18" x14ac:dyDescent="0.25">
      <c r="A323" t="s">
        <v>669</v>
      </c>
      <c r="B323" t="s">
        <v>668</v>
      </c>
      <c r="C323" t="s">
        <v>18</v>
      </c>
      <c r="D323">
        <v>37</v>
      </c>
      <c r="E323" t="s">
        <v>1058</v>
      </c>
      <c r="F323" t="s">
        <v>1023</v>
      </c>
      <c r="G323" t="s">
        <v>1046</v>
      </c>
      <c r="H323">
        <v>0</v>
      </c>
      <c r="I323" t="s">
        <v>24</v>
      </c>
      <c r="J323" s="6">
        <v>40</v>
      </c>
      <c r="K323">
        <v>3.7</v>
      </c>
      <c r="L323" t="b">
        <v>1</v>
      </c>
      <c r="N323" s="1">
        <v>0.78</v>
      </c>
      <c r="O323" t="s">
        <v>1042</v>
      </c>
      <c r="P323" t="s">
        <v>1025</v>
      </c>
      <c r="Q323">
        <v>3</v>
      </c>
      <c r="R323">
        <v>5</v>
      </c>
    </row>
    <row r="324" spans="1:18" x14ac:dyDescent="0.25">
      <c r="A324" t="s">
        <v>671</v>
      </c>
      <c r="B324" t="s">
        <v>670</v>
      </c>
      <c r="C324" t="s">
        <v>41</v>
      </c>
      <c r="D324">
        <v>52</v>
      </c>
      <c r="E324" t="s">
        <v>1053</v>
      </c>
      <c r="F324" t="s">
        <v>1054</v>
      </c>
      <c r="G324" t="s">
        <v>1027</v>
      </c>
      <c r="H324">
        <v>33</v>
      </c>
      <c r="J324" s="6">
        <v>70</v>
      </c>
      <c r="K324">
        <v>0</v>
      </c>
      <c r="L324" t="b">
        <v>1</v>
      </c>
      <c r="M324">
        <v>0.6</v>
      </c>
      <c r="N324" s="1">
        <v>0.6</v>
      </c>
      <c r="O324" t="s">
        <v>1020</v>
      </c>
      <c r="P324" t="s">
        <v>1028</v>
      </c>
      <c r="Q324">
        <v>13</v>
      </c>
      <c r="R324">
        <v>7</v>
      </c>
    </row>
    <row r="325" spans="1:18" x14ac:dyDescent="0.25">
      <c r="A325" t="s">
        <v>673</v>
      </c>
      <c r="B325" t="s">
        <v>672</v>
      </c>
      <c r="C325" t="s">
        <v>41</v>
      </c>
      <c r="D325">
        <v>48</v>
      </c>
      <c r="E325" t="s">
        <v>1051</v>
      </c>
      <c r="F325" t="s">
        <v>1052</v>
      </c>
      <c r="G325" t="s">
        <v>1046</v>
      </c>
      <c r="H325">
        <v>18</v>
      </c>
      <c r="I325">
        <v>50</v>
      </c>
      <c r="J325" s="6">
        <v>50</v>
      </c>
      <c r="K325">
        <v>0</v>
      </c>
      <c r="L325" t="b">
        <v>1</v>
      </c>
      <c r="M325">
        <v>0.64</v>
      </c>
      <c r="N325" s="1">
        <v>0.64</v>
      </c>
      <c r="O325" t="s">
        <v>1042</v>
      </c>
      <c r="P325" t="s">
        <v>1028</v>
      </c>
      <c r="Q325">
        <v>11</v>
      </c>
      <c r="R325">
        <v>16</v>
      </c>
    </row>
    <row r="326" spans="1:18" x14ac:dyDescent="0.25">
      <c r="A326" t="s">
        <v>675</v>
      </c>
      <c r="B326" t="s">
        <v>674</v>
      </c>
      <c r="C326" t="s">
        <v>18</v>
      </c>
      <c r="D326">
        <v>28</v>
      </c>
      <c r="E326" t="s">
        <v>1048</v>
      </c>
      <c r="F326" t="s">
        <v>1049</v>
      </c>
      <c r="G326" t="s">
        <v>1024</v>
      </c>
      <c r="H326">
        <v>9</v>
      </c>
      <c r="I326">
        <v>40</v>
      </c>
      <c r="J326" s="6">
        <v>40</v>
      </c>
      <c r="K326">
        <v>2.4</v>
      </c>
      <c r="L326" t="b">
        <v>1</v>
      </c>
      <c r="M326">
        <v>0.64</v>
      </c>
      <c r="N326" s="1">
        <v>0.64</v>
      </c>
      <c r="O326" t="s">
        <v>1020</v>
      </c>
      <c r="P326" t="s">
        <v>1021</v>
      </c>
      <c r="Q326">
        <v>14</v>
      </c>
      <c r="R326">
        <v>12</v>
      </c>
    </row>
    <row r="327" spans="1:18" x14ac:dyDescent="0.25">
      <c r="A327" t="s">
        <v>677</v>
      </c>
      <c r="B327" t="s">
        <v>676</v>
      </c>
      <c r="C327" t="s">
        <v>18</v>
      </c>
      <c r="D327">
        <v>58</v>
      </c>
      <c r="E327" t="s">
        <v>1068</v>
      </c>
      <c r="F327" t="s">
        <v>1044</v>
      </c>
      <c r="G327" t="s">
        <v>1037</v>
      </c>
      <c r="H327">
        <v>40</v>
      </c>
      <c r="I327">
        <v>75</v>
      </c>
      <c r="J327" s="6">
        <v>75</v>
      </c>
      <c r="K327">
        <v>3.4</v>
      </c>
      <c r="L327" t="b">
        <v>1</v>
      </c>
      <c r="M327">
        <v>1</v>
      </c>
      <c r="N327" s="1">
        <v>1</v>
      </c>
      <c r="O327" t="s">
        <v>1042</v>
      </c>
      <c r="P327" t="s">
        <v>1021</v>
      </c>
      <c r="Q327">
        <v>11</v>
      </c>
      <c r="R327">
        <v>12</v>
      </c>
    </row>
    <row r="328" spans="1:18" x14ac:dyDescent="0.25">
      <c r="A328" t="s">
        <v>679</v>
      </c>
      <c r="B328" t="s">
        <v>678</v>
      </c>
      <c r="C328" t="s">
        <v>41</v>
      </c>
      <c r="D328">
        <v>30</v>
      </c>
      <c r="E328" t="s">
        <v>1043</v>
      </c>
      <c r="F328" t="s">
        <v>1044</v>
      </c>
      <c r="G328" t="s">
        <v>1029</v>
      </c>
      <c r="H328">
        <v>1</v>
      </c>
      <c r="I328">
        <v>40</v>
      </c>
      <c r="J328" s="6">
        <v>40</v>
      </c>
      <c r="K328">
        <v>1.6</v>
      </c>
      <c r="L328" t="b">
        <v>1</v>
      </c>
      <c r="M328">
        <v>100</v>
      </c>
      <c r="N328" s="1">
        <v>1</v>
      </c>
      <c r="O328" t="s">
        <v>1041</v>
      </c>
      <c r="P328" t="s">
        <v>1025</v>
      </c>
      <c r="Q328">
        <v>4</v>
      </c>
      <c r="R328">
        <v>1</v>
      </c>
    </row>
    <row r="329" spans="1:18" x14ac:dyDescent="0.25">
      <c r="A329" t="s">
        <v>681</v>
      </c>
      <c r="B329" t="s">
        <v>680</v>
      </c>
      <c r="C329" t="s">
        <v>18</v>
      </c>
      <c r="D329">
        <v>47</v>
      </c>
      <c r="E329" t="s">
        <v>1065</v>
      </c>
      <c r="F329" t="s">
        <v>1066</v>
      </c>
      <c r="G329" t="s">
        <v>1024</v>
      </c>
      <c r="H329">
        <v>5</v>
      </c>
      <c r="I329">
        <v>20</v>
      </c>
      <c r="J329" s="6">
        <v>20</v>
      </c>
      <c r="K329">
        <v>1.9</v>
      </c>
      <c r="L329" t="b">
        <v>0</v>
      </c>
      <c r="N329" s="1">
        <v>0.78</v>
      </c>
      <c r="O329" t="s">
        <v>1034</v>
      </c>
      <c r="P329" t="s">
        <v>1038</v>
      </c>
      <c r="Q329">
        <v>5</v>
      </c>
      <c r="R329">
        <v>1</v>
      </c>
    </row>
    <row r="330" spans="1:18" x14ac:dyDescent="0.25">
      <c r="A330" t="s">
        <v>683</v>
      </c>
      <c r="B330" t="s">
        <v>682</v>
      </c>
      <c r="C330" t="s">
        <v>41</v>
      </c>
      <c r="D330">
        <v>44</v>
      </c>
      <c r="E330" t="s">
        <v>1043</v>
      </c>
      <c r="F330" t="s">
        <v>1044</v>
      </c>
      <c r="G330" t="s">
        <v>28</v>
      </c>
      <c r="H330">
        <v>4</v>
      </c>
      <c r="I330" t="s">
        <v>42</v>
      </c>
      <c r="J330" s="6">
        <v>50</v>
      </c>
      <c r="K330">
        <v>0</v>
      </c>
      <c r="L330" t="b">
        <v>1</v>
      </c>
      <c r="M330">
        <v>0.83</v>
      </c>
      <c r="N330" s="1">
        <v>0.83</v>
      </c>
      <c r="O330" t="s">
        <v>1041</v>
      </c>
      <c r="P330" t="s">
        <v>1028</v>
      </c>
      <c r="Q330">
        <v>5</v>
      </c>
      <c r="R330">
        <v>1</v>
      </c>
    </row>
    <row r="331" spans="1:18" x14ac:dyDescent="0.25">
      <c r="A331" t="s">
        <v>685</v>
      </c>
      <c r="B331" t="s">
        <v>684</v>
      </c>
      <c r="C331" t="s">
        <v>41</v>
      </c>
      <c r="D331">
        <v>56</v>
      </c>
      <c r="E331" t="s">
        <v>1017</v>
      </c>
      <c r="F331" t="s">
        <v>1018</v>
      </c>
      <c r="G331" t="s">
        <v>1031</v>
      </c>
      <c r="H331">
        <v>13</v>
      </c>
      <c r="I331" t="s">
        <v>35</v>
      </c>
      <c r="J331" s="6">
        <v>40</v>
      </c>
      <c r="K331">
        <v>2.4</v>
      </c>
      <c r="L331" t="b">
        <v>1</v>
      </c>
      <c r="M331">
        <v>0.87</v>
      </c>
      <c r="N331" s="1">
        <v>0.87</v>
      </c>
      <c r="O331" t="s">
        <v>1034</v>
      </c>
      <c r="P331" t="s">
        <v>1025</v>
      </c>
      <c r="Q331">
        <v>9</v>
      </c>
      <c r="R331">
        <v>10</v>
      </c>
    </row>
    <row r="332" spans="1:18" x14ac:dyDescent="0.25">
      <c r="A332" t="s">
        <v>687</v>
      </c>
      <c r="B332" t="s">
        <v>686</v>
      </c>
      <c r="C332" t="s">
        <v>18</v>
      </c>
      <c r="D332">
        <v>53</v>
      </c>
      <c r="E332" t="s">
        <v>38</v>
      </c>
      <c r="F332" t="s">
        <v>1023</v>
      </c>
      <c r="G332" t="s">
        <v>1024</v>
      </c>
      <c r="H332">
        <v>33</v>
      </c>
      <c r="I332" t="s">
        <v>174</v>
      </c>
      <c r="J332" s="6">
        <v>100</v>
      </c>
      <c r="K332">
        <v>2.4</v>
      </c>
      <c r="L332" t="b">
        <v>0</v>
      </c>
      <c r="M332">
        <v>0.75</v>
      </c>
      <c r="N332" s="1">
        <v>0.75</v>
      </c>
      <c r="O332" t="s">
        <v>1020</v>
      </c>
      <c r="P332" t="s">
        <v>1028</v>
      </c>
      <c r="Q332">
        <v>12</v>
      </c>
      <c r="R332">
        <v>1</v>
      </c>
    </row>
    <row r="333" spans="1:18" x14ac:dyDescent="0.25">
      <c r="A333" t="s">
        <v>689</v>
      </c>
      <c r="B333" t="s">
        <v>688</v>
      </c>
      <c r="C333" t="s">
        <v>41</v>
      </c>
      <c r="D333">
        <v>59</v>
      </c>
      <c r="E333" t="s">
        <v>45</v>
      </c>
      <c r="F333" t="s">
        <v>1023</v>
      </c>
      <c r="G333" t="s">
        <v>1024</v>
      </c>
      <c r="H333">
        <v>22</v>
      </c>
      <c r="I333">
        <v>40</v>
      </c>
      <c r="J333" s="6">
        <v>40</v>
      </c>
      <c r="K333">
        <v>1.1000000000000001</v>
      </c>
      <c r="L333" t="b">
        <v>1</v>
      </c>
      <c r="M333">
        <v>0.61</v>
      </c>
      <c r="N333" s="1">
        <v>0.61</v>
      </c>
      <c r="O333" t="s">
        <v>1041</v>
      </c>
      <c r="P333" t="s">
        <v>1028</v>
      </c>
      <c r="Q333">
        <v>10</v>
      </c>
      <c r="R333">
        <v>19</v>
      </c>
    </row>
    <row r="334" spans="1:18" x14ac:dyDescent="0.25">
      <c r="A334" t="s">
        <v>691</v>
      </c>
      <c r="B334" t="s">
        <v>690</v>
      </c>
      <c r="C334" t="s">
        <v>41</v>
      </c>
      <c r="D334">
        <v>60</v>
      </c>
      <c r="E334" t="s">
        <v>38</v>
      </c>
      <c r="F334" t="s">
        <v>1023</v>
      </c>
      <c r="G334" t="s">
        <v>1050</v>
      </c>
      <c r="H334">
        <v>34</v>
      </c>
      <c r="J334" s="6">
        <v>70</v>
      </c>
      <c r="K334">
        <v>2.4</v>
      </c>
      <c r="L334" t="b">
        <v>0</v>
      </c>
      <c r="M334">
        <v>0.93</v>
      </c>
      <c r="N334" s="1">
        <v>0.93</v>
      </c>
      <c r="O334" t="s">
        <v>1042</v>
      </c>
      <c r="P334" t="s">
        <v>1038</v>
      </c>
      <c r="Q334">
        <v>20</v>
      </c>
      <c r="R334">
        <v>9</v>
      </c>
    </row>
    <row r="335" spans="1:18" x14ac:dyDescent="0.25">
      <c r="A335" t="s">
        <v>693</v>
      </c>
      <c r="B335" t="s">
        <v>692</v>
      </c>
      <c r="C335" t="s">
        <v>18</v>
      </c>
      <c r="D335">
        <v>33</v>
      </c>
      <c r="E335" t="s">
        <v>1026</v>
      </c>
      <c r="F335" t="s">
        <v>1026</v>
      </c>
      <c r="G335" t="s">
        <v>1024</v>
      </c>
      <c r="H335">
        <v>8</v>
      </c>
      <c r="I335" t="s">
        <v>71</v>
      </c>
      <c r="J335" s="6">
        <v>30</v>
      </c>
      <c r="K335">
        <v>3.6</v>
      </c>
      <c r="L335" t="b">
        <v>1</v>
      </c>
      <c r="N335" s="1">
        <v>0.78</v>
      </c>
      <c r="O335" t="s">
        <v>1034</v>
      </c>
      <c r="P335" t="s">
        <v>1038</v>
      </c>
      <c r="Q335">
        <v>8</v>
      </c>
      <c r="R335">
        <v>3</v>
      </c>
    </row>
    <row r="336" spans="1:18" x14ac:dyDescent="0.25">
      <c r="A336" t="s">
        <v>695</v>
      </c>
      <c r="B336" t="s">
        <v>694</v>
      </c>
      <c r="C336" t="s">
        <v>18</v>
      </c>
      <c r="D336">
        <v>21</v>
      </c>
      <c r="E336" t="s">
        <v>1043</v>
      </c>
      <c r="F336" t="s">
        <v>1044</v>
      </c>
      <c r="G336" t="s">
        <v>1029</v>
      </c>
      <c r="H336">
        <v>1</v>
      </c>
      <c r="I336" t="s">
        <v>259</v>
      </c>
      <c r="J336" s="6">
        <v>20</v>
      </c>
      <c r="K336">
        <v>2.4</v>
      </c>
      <c r="L336" t="b">
        <v>0</v>
      </c>
      <c r="M336">
        <v>0.99</v>
      </c>
      <c r="N336" s="1">
        <v>0.99</v>
      </c>
      <c r="O336" t="s">
        <v>1034</v>
      </c>
      <c r="P336" t="s">
        <v>1025</v>
      </c>
      <c r="Q336">
        <v>4</v>
      </c>
      <c r="R336">
        <v>2</v>
      </c>
    </row>
    <row r="337" spans="1:18" x14ac:dyDescent="0.25">
      <c r="A337" t="s">
        <v>697</v>
      </c>
      <c r="B337" t="s">
        <v>696</v>
      </c>
      <c r="C337" t="s">
        <v>41</v>
      </c>
      <c r="D337">
        <v>54</v>
      </c>
      <c r="E337" t="s">
        <v>45</v>
      </c>
      <c r="F337" t="s">
        <v>1023</v>
      </c>
      <c r="G337" t="s">
        <v>1045</v>
      </c>
      <c r="H337">
        <v>20</v>
      </c>
      <c r="I337">
        <v>50</v>
      </c>
      <c r="J337" s="6">
        <v>50</v>
      </c>
      <c r="K337">
        <v>4.4000000000000004</v>
      </c>
      <c r="L337" t="b">
        <v>0</v>
      </c>
      <c r="M337">
        <v>73</v>
      </c>
      <c r="N337" s="1">
        <v>0.73</v>
      </c>
      <c r="O337" t="s">
        <v>1041</v>
      </c>
      <c r="P337" t="s">
        <v>1038</v>
      </c>
      <c r="Q337">
        <v>20</v>
      </c>
      <c r="R337">
        <v>12</v>
      </c>
    </row>
    <row r="338" spans="1:18" x14ac:dyDescent="0.25">
      <c r="A338" t="s">
        <v>699</v>
      </c>
      <c r="B338" t="s">
        <v>698</v>
      </c>
      <c r="C338" t="s">
        <v>18</v>
      </c>
      <c r="D338">
        <v>33</v>
      </c>
      <c r="E338" t="s">
        <v>38</v>
      </c>
      <c r="F338" t="s">
        <v>1023</v>
      </c>
      <c r="G338" t="s">
        <v>1027</v>
      </c>
      <c r="H338">
        <v>11</v>
      </c>
      <c r="I338">
        <v>75</v>
      </c>
      <c r="J338" s="6">
        <v>75</v>
      </c>
      <c r="K338">
        <v>2.1</v>
      </c>
      <c r="L338" t="b">
        <v>0</v>
      </c>
      <c r="M338">
        <v>0.96</v>
      </c>
      <c r="N338" s="1">
        <v>0.96</v>
      </c>
      <c r="O338" t="s">
        <v>1020</v>
      </c>
      <c r="P338" t="s">
        <v>1038</v>
      </c>
      <c r="Q338">
        <v>7</v>
      </c>
      <c r="R338">
        <v>5</v>
      </c>
    </row>
    <row r="339" spans="1:18" x14ac:dyDescent="0.25">
      <c r="A339" t="s">
        <v>701</v>
      </c>
      <c r="B339" t="s">
        <v>700</v>
      </c>
      <c r="C339" t="s">
        <v>18</v>
      </c>
      <c r="D339">
        <v>57</v>
      </c>
      <c r="E339" t="s">
        <v>1039</v>
      </c>
      <c r="F339" t="s">
        <v>1040</v>
      </c>
      <c r="G339" t="s">
        <v>1037</v>
      </c>
      <c r="H339">
        <v>2</v>
      </c>
      <c r="I339">
        <v>40</v>
      </c>
      <c r="J339" s="6">
        <v>40</v>
      </c>
      <c r="K339">
        <v>0</v>
      </c>
      <c r="L339" t="b">
        <v>0</v>
      </c>
      <c r="M339">
        <v>0.6</v>
      </c>
      <c r="N339" s="1">
        <v>0.6</v>
      </c>
      <c r="O339" t="s">
        <v>1041</v>
      </c>
      <c r="P339" t="s">
        <v>1025</v>
      </c>
      <c r="Q339">
        <v>5</v>
      </c>
      <c r="R339">
        <v>2</v>
      </c>
    </row>
    <row r="340" spans="1:18" x14ac:dyDescent="0.25">
      <c r="A340" t="s">
        <v>703</v>
      </c>
      <c r="B340" t="s">
        <v>702</v>
      </c>
      <c r="C340" t="s">
        <v>41</v>
      </c>
      <c r="D340">
        <v>36</v>
      </c>
      <c r="E340" t="s">
        <v>1047</v>
      </c>
      <c r="F340" t="s">
        <v>1055</v>
      </c>
      <c r="G340" t="s">
        <v>1027</v>
      </c>
      <c r="H340">
        <v>6</v>
      </c>
      <c r="I340">
        <v>20</v>
      </c>
      <c r="J340" s="6">
        <v>20</v>
      </c>
      <c r="K340">
        <v>1</v>
      </c>
      <c r="L340" t="b">
        <v>1</v>
      </c>
      <c r="M340">
        <v>0.64</v>
      </c>
      <c r="N340" s="1">
        <v>0.64</v>
      </c>
      <c r="O340" t="s">
        <v>1020</v>
      </c>
      <c r="P340" t="s">
        <v>1038</v>
      </c>
      <c r="Q340">
        <v>15</v>
      </c>
      <c r="R340">
        <v>6</v>
      </c>
    </row>
    <row r="341" spans="1:18" x14ac:dyDescent="0.25">
      <c r="A341" t="s">
        <v>705</v>
      </c>
      <c r="B341" t="s">
        <v>704</v>
      </c>
      <c r="C341" t="s">
        <v>41</v>
      </c>
      <c r="D341">
        <v>50</v>
      </c>
      <c r="E341" t="s">
        <v>1026</v>
      </c>
      <c r="F341" t="s">
        <v>1026</v>
      </c>
      <c r="G341" t="s">
        <v>1019</v>
      </c>
      <c r="H341">
        <v>20</v>
      </c>
      <c r="I341" t="s">
        <v>71</v>
      </c>
      <c r="J341" s="6">
        <v>30</v>
      </c>
      <c r="K341">
        <v>0</v>
      </c>
      <c r="L341" t="b">
        <v>0</v>
      </c>
      <c r="N341" s="1">
        <v>0.78</v>
      </c>
      <c r="O341" t="s">
        <v>1020</v>
      </c>
      <c r="P341" t="s">
        <v>1021</v>
      </c>
      <c r="Q341">
        <v>18</v>
      </c>
      <c r="R341">
        <v>7</v>
      </c>
    </row>
    <row r="342" spans="1:18" x14ac:dyDescent="0.25">
      <c r="A342" t="s">
        <v>707</v>
      </c>
      <c r="B342" t="s">
        <v>706</v>
      </c>
      <c r="C342" t="s">
        <v>18</v>
      </c>
      <c r="D342">
        <v>37</v>
      </c>
      <c r="E342" t="s">
        <v>1058</v>
      </c>
      <c r="F342" t="s">
        <v>1023</v>
      </c>
      <c r="G342" t="s">
        <v>1050</v>
      </c>
      <c r="H342">
        <v>10</v>
      </c>
      <c r="I342" t="s">
        <v>259</v>
      </c>
      <c r="J342" s="6">
        <v>20</v>
      </c>
      <c r="K342">
        <v>4.9000000000000004</v>
      </c>
      <c r="L342" t="b">
        <v>0</v>
      </c>
      <c r="N342" s="1">
        <v>0.78</v>
      </c>
      <c r="O342" t="s">
        <v>1034</v>
      </c>
      <c r="P342" t="s">
        <v>1028</v>
      </c>
      <c r="Q342">
        <v>5</v>
      </c>
      <c r="R342">
        <v>3</v>
      </c>
    </row>
    <row r="343" spans="1:18" x14ac:dyDescent="0.25">
      <c r="A343" t="s">
        <v>709</v>
      </c>
      <c r="B343" t="s">
        <v>708</v>
      </c>
      <c r="C343" t="s">
        <v>41</v>
      </c>
      <c r="D343">
        <v>53</v>
      </c>
      <c r="E343" t="s">
        <v>1017</v>
      </c>
      <c r="F343" t="s">
        <v>1018</v>
      </c>
      <c r="G343" t="s">
        <v>28</v>
      </c>
      <c r="H343">
        <v>4</v>
      </c>
      <c r="I343">
        <v>30</v>
      </c>
      <c r="J343" s="6">
        <v>30</v>
      </c>
      <c r="K343">
        <v>4.7</v>
      </c>
      <c r="L343" t="b">
        <v>0</v>
      </c>
      <c r="M343">
        <v>0.99</v>
      </c>
      <c r="N343" s="1">
        <v>0.99</v>
      </c>
      <c r="O343" t="s">
        <v>1041</v>
      </c>
      <c r="P343" t="s">
        <v>1028</v>
      </c>
      <c r="Q343">
        <v>2</v>
      </c>
      <c r="R343">
        <v>1</v>
      </c>
    </row>
    <row r="344" spans="1:18" x14ac:dyDescent="0.25">
      <c r="A344" t="s">
        <v>711</v>
      </c>
      <c r="B344" t="s">
        <v>710</v>
      </c>
      <c r="C344" t="s">
        <v>18</v>
      </c>
      <c r="D344">
        <v>22</v>
      </c>
      <c r="E344" t="s">
        <v>1017</v>
      </c>
      <c r="F344" t="s">
        <v>1018</v>
      </c>
      <c r="G344" t="s">
        <v>1019</v>
      </c>
      <c r="H344">
        <v>3</v>
      </c>
      <c r="I344" t="s">
        <v>35</v>
      </c>
      <c r="J344" s="6">
        <v>40</v>
      </c>
      <c r="K344">
        <v>2.1</v>
      </c>
      <c r="L344" t="b">
        <v>0</v>
      </c>
      <c r="N344" s="1">
        <v>0.78</v>
      </c>
      <c r="O344" t="s">
        <v>1041</v>
      </c>
      <c r="P344" t="s">
        <v>1028</v>
      </c>
      <c r="Q344">
        <v>4</v>
      </c>
      <c r="R344">
        <v>1</v>
      </c>
    </row>
    <row r="345" spans="1:18" x14ac:dyDescent="0.25">
      <c r="A345" t="s">
        <v>713</v>
      </c>
      <c r="B345" t="s">
        <v>712</v>
      </c>
      <c r="C345" t="s">
        <v>18</v>
      </c>
      <c r="D345">
        <v>55</v>
      </c>
      <c r="E345" t="s">
        <v>1032</v>
      </c>
      <c r="F345" t="s">
        <v>1033</v>
      </c>
      <c r="G345" t="s">
        <v>1024</v>
      </c>
      <c r="H345">
        <v>33</v>
      </c>
      <c r="I345">
        <v>40</v>
      </c>
      <c r="J345" s="6">
        <v>40</v>
      </c>
      <c r="K345">
        <v>1.5</v>
      </c>
      <c r="L345" t="b">
        <v>1</v>
      </c>
      <c r="M345">
        <v>0.71</v>
      </c>
      <c r="N345" s="1">
        <v>0.71</v>
      </c>
      <c r="O345" t="s">
        <v>1020</v>
      </c>
      <c r="P345" t="s">
        <v>1028</v>
      </c>
      <c r="Q345">
        <v>10</v>
      </c>
      <c r="R345">
        <v>11</v>
      </c>
    </row>
    <row r="346" spans="1:18" x14ac:dyDescent="0.25">
      <c r="A346" t="s">
        <v>715</v>
      </c>
      <c r="B346" t="s">
        <v>714</v>
      </c>
      <c r="C346" t="s">
        <v>41</v>
      </c>
      <c r="D346">
        <v>22</v>
      </c>
      <c r="E346" t="s">
        <v>1022</v>
      </c>
      <c r="F346" t="s">
        <v>1023</v>
      </c>
      <c r="G346" t="s">
        <v>1046</v>
      </c>
      <c r="H346">
        <v>1</v>
      </c>
      <c r="J346" s="6">
        <v>70</v>
      </c>
      <c r="K346">
        <v>2.6</v>
      </c>
      <c r="L346" t="b">
        <v>0</v>
      </c>
      <c r="M346">
        <v>0.72</v>
      </c>
      <c r="N346" s="1">
        <v>0.72</v>
      </c>
      <c r="O346" t="s">
        <v>1041</v>
      </c>
      <c r="P346" t="s">
        <v>1025</v>
      </c>
      <c r="Q346">
        <v>5</v>
      </c>
      <c r="R346">
        <v>1</v>
      </c>
    </row>
    <row r="347" spans="1:18" x14ac:dyDescent="0.25">
      <c r="A347" t="s">
        <v>717</v>
      </c>
      <c r="B347" t="s">
        <v>716</v>
      </c>
      <c r="C347" t="s">
        <v>18</v>
      </c>
      <c r="D347">
        <v>45</v>
      </c>
      <c r="E347" t="s">
        <v>1039</v>
      </c>
      <c r="F347" t="s">
        <v>1040</v>
      </c>
      <c r="G347" t="s">
        <v>1029</v>
      </c>
      <c r="H347">
        <v>23</v>
      </c>
      <c r="I347" t="s">
        <v>62</v>
      </c>
      <c r="J347" s="6">
        <v>50</v>
      </c>
      <c r="K347">
        <v>0</v>
      </c>
      <c r="L347" t="b">
        <v>0</v>
      </c>
      <c r="M347">
        <v>0.66</v>
      </c>
      <c r="N347" s="1">
        <v>0.66</v>
      </c>
      <c r="O347" t="s">
        <v>1042</v>
      </c>
      <c r="P347" t="s">
        <v>1028</v>
      </c>
      <c r="Q347">
        <v>10</v>
      </c>
      <c r="R347">
        <v>6</v>
      </c>
    </row>
    <row r="348" spans="1:18" x14ac:dyDescent="0.25">
      <c r="A348" t="s">
        <v>719</v>
      </c>
      <c r="B348" t="s">
        <v>718</v>
      </c>
      <c r="C348" t="s">
        <v>41</v>
      </c>
      <c r="D348">
        <v>36</v>
      </c>
      <c r="E348" t="s">
        <v>1059</v>
      </c>
      <c r="F348" t="s">
        <v>1060</v>
      </c>
      <c r="G348" t="s">
        <v>1037</v>
      </c>
      <c r="H348">
        <v>13</v>
      </c>
      <c r="I348">
        <v>40</v>
      </c>
      <c r="J348" s="6">
        <v>40</v>
      </c>
      <c r="K348">
        <v>2.4</v>
      </c>
      <c r="L348" t="b">
        <v>0</v>
      </c>
      <c r="M348">
        <v>0.78</v>
      </c>
      <c r="N348" s="1">
        <v>0.78</v>
      </c>
      <c r="O348" t="s">
        <v>1042</v>
      </c>
      <c r="P348" t="s">
        <v>1028</v>
      </c>
      <c r="Q348">
        <v>15</v>
      </c>
      <c r="R348">
        <v>10</v>
      </c>
    </row>
    <row r="349" spans="1:18" x14ac:dyDescent="0.25">
      <c r="A349" t="s">
        <v>721</v>
      </c>
      <c r="B349" t="s">
        <v>720</v>
      </c>
      <c r="C349" t="s">
        <v>41</v>
      </c>
      <c r="D349">
        <v>23</v>
      </c>
      <c r="E349" t="s">
        <v>1022</v>
      </c>
      <c r="F349" t="s">
        <v>1023</v>
      </c>
      <c r="G349" t="s">
        <v>1050</v>
      </c>
      <c r="H349">
        <v>1</v>
      </c>
      <c r="I349" t="s">
        <v>259</v>
      </c>
      <c r="J349" s="6">
        <v>20</v>
      </c>
      <c r="K349">
        <v>4</v>
      </c>
      <c r="L349" t="b">
        <v>1</v>
      </c>
      <c r="M349">
        <v>100</v>
      </c>
      <c r="N349" s="1">
        <v>1</v>
      </c>
      <c r="O349" t="s">
        <v>1041</v>
      </c>
      <c r="P349" t="s">
        <v>1028</v>
      </c>
      <c r="Q349">
        <v>1</v>
      </c>
      <c r="R349">
        <v>3</v>
      </c>
    </row>
    <row r="350" spans="1:18" x14ac:dyDescent="0.25">
      <c r="A350" t="s">
        <v>723</v>
      </c>
      <c r="B350" t="s">
        <v>722</v>
      </c>
      <c r="C350" t="s">
        <v>41</v>
      </c>
      <c r="D350">
        <v>55</v>
      </c>
      <c r="E350" t="s">
        <v>1017</v>
      </c>
      <c r="F350" t="s">
        <v>1018</v>
      </c>
      <c r="G350" t="s">
        <v>1050</v>
      </c>
      <c r="H350">
        <v>15</v>
      </c>
      <c r="I350">
        <v>40</v>
      </c>
      <c r="J350" s="6">
        <v>40</v>
      </c>
      <c r="K350">
        <v>4.5</v>
      </c>
      <c r="L350" t="b">
        <v>0</v>
      </c>
      <c r="N350" s="1">
        <v>0.78</v>
      </c>
      <c r="O350" t="s">
        <v>1041</v>
      </c>
      <c r="P350" t="s">
        <v>1028</v>
      </c>
      <c r="Q350">
        <v>9</v>
      </c>
      <c r="R350">
        <v>10</v>
      </c>
    </row>
    <row r="351" spans="1:18" x14ac:dyDescent="0.25">
      <c r="A351" t="s">
        <v>725</v>
      </c>
      <c r="B351" t="s">
        <v>724</v>
      </c>
      <c r="C351" t="s">
        <v>18</v>
      </c>
      <c r="D351">
        <v>50</v>
      </c>
      <c r="E351" t="s">
        <v>1053</v>
      </c>
      <c r="F351" t="s">
        <v>1054</v>
      </c>
      <c r="G351" t="s">
        <v>1024</v>
      </c>
      <c r="H351">
        <v>18</v>
      </c>
      <c r="I351">
        <v>75</v>
      </c>
      <c r="J351" s="6">
        <v>75</v>
      </c>
      <c r="K351">
        <v>3.8</v>
      </c>
      <c r="L351" t="b">
        <v>0</v>
      </c>
      <c r="M351">
        <v>67</v>
      </c>
      <c r="N351" s="1">
        <v>0.67</v>
      </c>
      <c r="O351" t="s">
        <v>1020</v>
      </c>
      <c r="P351" t="s">
        <v>1021</v>
      </c>
      <c r="Q351">
        <v>14</v>
      </c>
      <c r="R351">
        <v>6</v>
      </c>
    </row>
    <row r="352" spans="1:18" x14ac:dyDescent="0.25">
      <c r="A352" t="s">
        <v>727</v>
      </c>
      <c r="B352" t="s">
        <v>726</v>
      </c>
      <c r="C352" t="s">
        <v>41</v>
      </c>
      <c r="D352">
        <v>48</v>
      </c>
      <c r="E352" t="s">
        <v>38</v>
      </c>
      <c r="F352" t="s">
        <v>1023</v>
      </c>
      <c r="G352" t="s">
        <v>1031</v>
      </c>
      <c r="H352">
        <v>21</v>
      </c>
      <c r="I352">
        <v>50</v>
      </c>
      <c r="J352" s="6">
        <v>50</v>
      </c>
      <c r="K352">
        <v>4</v>
      </c>
      <c r="L352" t="b">
        <v>0</v>
      </c>
      <c r="M352">
        <v>0.78</v>
      </c>
      <c r="N352" s="1">
        <v>0.78</v>
      </c>
      <c r="O352" t="s">
        <v>1042</v>
      </c>
      <c r="P352" t="s">
        <v>1028</v>
      </c>
      <c r="Q352">
        <v>20</v>
      </c>
      <c r="R352">
        <v>7</v>
      </c>
    </row>
    <row r="353" spans="1:18" x14ac:dyDescent="0.25">
      <c r="A353" t="s">
        <v>729</v>
      </c>
      <c r="B353" t="s">
        <v>728</v>
      </c>
      <c r="C353" t="s">
        <v>41</v>
      </c>
      <c r="D353">
        <v>23</v>
      </c>
      <c r="E353" t="s">
        <v>1032</v>
      </c>
      <c r="F353" t="s">
        <v>1033</v>
      </c>
      <c r="G353" t="s">
        <v>1050</v>
      </c>
      <c r="H353">
        <v>1</v>
      </c>
      <c r="I353" t="s">
        <v>24</v>
      </c>
      <c r="J353" s="6">
        <v>40</v>
      </c>
      <c r="K353">
        <v>4.9000000000000004</v>
      </c>
      <c r="L353" t="b">
        <v>1</v>
      </c>
      <c r="M353">
        <v>0.78</v>
      </c>
      <c r="N353" s="1">
        <v>0.78</v>
      </c>
      <c r="O353" t="s">
        <v>1042</v>
      </c>
      <c r="P353" t="s">
        <v>1021</v>
      </c>
      <c r="Q353">
        <v>3</v>
      </c>
      <c r="R353">
        <v>3</v>
      </c>
    </row>
    <row r="354" spans="1:18" x14ac:dyDescent="0.25">
      <c r="A354" t="s">
        <v>731</v>
      </c>
      <c r="B354" t="s">
        <v>730</v>
      </c>
      <c r="C354" t="s">
        <v>18</v>
      </c>
      <c r="D354">
        <v>49</v>
      </c>
      <c r="E354" t="s">
        <v>1058</v>
      </c>
      <c r="F354" t="s">
        <v>1023</v>
      </c>
      <c r="G354" t="s">
        <v>1029</v>
      </c>
      <c r="H354">
        <v>25</v>
      </c>
      <c r="I354" t="s">
        <v>29</v>
      </c>
      <c r="J354" s="6">
        <v>30</v>
      </c>
      <c r="K354">
        <v>3.4</v>
      </c>
      <c r="L354" t="b">
        <v>0</v>
      </c>
      <c r="M354">
        <v>0.75</v>
      </c>
      <c r="N354" s="1">
        <v>0.75</v>
      </c>
      <c r="O354" t="s">
        <v>1034</v>
      </c>
      <c r="P354" t="s">
        <v>1025</v>
      </c>
      <c r="Q354">
        <v>15</v>
      </c>
      <c r="R354">
        <v>10</v>
      </c>
    </row>
    <row r="355" spans="1:18" x14ac:dyDescent="0.25">
      <c r="A355" t="s">
        <v>733</v>
      </c>
      <c r="B355" t="s">
        <v>732</v>
      </c>
      <c r="C355" t="s">
        <v>18</v>
      </c>
      <c r="D355">
        <v>47</v>
      </c>
      <c r="E355" t="s">
        <v>1017</v>
      </c>
      <c r="F355" t="s">
        <v>1018</v>
      </c>
      <c r="G355" t="s">
        <v>1046</v>
      </c>
      <c r="H355">
        <v>12</v>
      </c>
      <c r="I355">
        <v>50</v>
      </c>
      <c r="J355" s="6">
        <v>50</v>
      </c>
      <c r="K355">
        <v>2.1</v>
      </c>
      <c r="L355" t="b">
        <v>1</v>
      </c>
      <c r="M355">
        <v>0.67</v>
      </c>
      <c r="N355" s="1">
        <v>0.67</v>
      </c>
      <c r="O355" t="s">
        <v>1020</v>
      </c>
      <c r="P355" t="s">
        <v>1038</v>
      </c>
      <c r="Q355">
        <v>14</v>
      </c>
      <c r="R355">
        <v>10</v>
      </c>
    </row>
    <row r="356" spans="1:18" x14ac:dyDescent="0.25">
      <c r="A356" t="s">
        <v>735</v>
      </c>
      <c r="B356" t="s">
        <v>734</v>
      </c>
      <c r="C356" t="s">
        <v>18</v>
      </c>
      <c r="D356">
        <v>56</v>
      </c>
      <c r="E356" t="s">
        <v>1048</v>
      </c>
      <c r="F356" t="s">
        <v>1049</v>
      </c>
      <c r="G356" t="s">
        <v>1027</v>
      </c>
      <c r="H356">
        <v>32</v>
      </c>
      <c r="I356" t="s">
        <v>35</v>
      </c>
      <c r="J356" s="6">
        <v>40</v>
      </c>
      <c r="K356">
        <v>0</v>
      </c>
      <c r="L356" t="b">
        <v>1</v>
      </c>
      <c r="M356">
        <v>0.86</v>
      </c>
      <c r="N356" s="1">
        <v>0.86</v>
      </c>
      <c r="O356" t="s">
        <v>1034</v>
      </c>
      <c r="P356" t="s">
        <v>1028</v>
      </c>
      <c r="Q356">
        <v>15</v>
      </c>
      <c r="R356">
        <v>5</v>
      </c>
    </row>
    <row r="357" spans="1:18" x14ac:dyDescent="0.25">
      <c r="A357" t="s">
        <v>737</v>
      </c>
      <c r="B357" t="s">
        <v>736</v>
      </c>
      <c r="C357" t="s">
        <v>41</v>
      </c>
      <c r="D357">
        <v>58</v>
      </c>
      <c r="E357" t="s">
        <v>1043</v>
      </c>
      <c r="F357" t="s">
        <v>1044</v>
      </c>
      <c r="G357" t="s">
        <v>1045</v>
      </c>
      <c r="H357">
        <v>10</v>
      </c>
      <c r="I357">
        <v>100</v>
      </c>
      <c r="J357" s="6">
        <v>100</v>
      </c>
      <c r="K357">
        <v>4.5</v>
      </c>
      <c r="L357" t="b">
        <v>0</v>
      </c>
      <c r="M357">
        <v>77</v>
      </c>
      <c r="N357" s="1">
        <v>0.77</v>
      </c>
      <c r="O357" t="s">
        <v>1042</v>
      </c>
      <c r="P357" t="s">
        <v>1038</v>
      </c>
      <c r="Q357">
        <v>3</v>
      </c>
      <c r="R357">
        <v>1</v>
      </c>
    </row>
    <row r="358" spans="1:18" x14ac:dyDescent="0.25">
      <c r="A358" t="s">
        <v>739</v>
      </c>
      <c r="B358" t="s">
        <v>738</v>
      </c>
      <c r="C358" t="s">
        <v>41</v>
      </c>
      <c r="D358">
        <v>32</v>
      </c>
      <c r="E358" t="s">
        <v>1047</v>
      </c>
      <c r="F358" t="s">
        <v>1055</v>
      </c>
      <c r="G358" t="s">
        <v>1045</v>
      </c>
      <c r="H358">
        <v>10</v>
      </c>
      <c r="I358" t="s">
        <v>29</v>
      </c>
      <c r="J358" s="6">
        <v>30</v>
      </c>
      <c r="K358">
        <v>3.8</v>
      </c>
      <c r="L358" t="b">
        <v>0</v>
      </c>
      <c r="M358">
        <v>0.61</v>
      </c>
      <c r="N358" s="1">
        <v>0.61</v>
      </c>
      <c r="O358" t="s">
        <v>1020</v>
      </c>
      <c r="P358" t="s">
        <v>1038</v>
      </c>
      <c r="Q358">
        <v>11</v>
      </c>
      <c r="R358">
        <v>5</v>
      </c>
    </row>
    <row r="359" spans="1:18" x14ac:dyDescent="0.25">
      <c r="A359" t="s">
        <v>741</v>
      </c>
      <c r="B359" t="s">
        <v>740</v>
      </c>
      <c r="C359" t="s">
        <v>18</v>
      </c>
      <c r="D359">
        <v>52</v>
      </c>
      <c r="E359" t="s">
        <v>1051</v>
      </c>
      <c r="F359" t="s">
        <v>1052</v>
      </c>
      <c r="G359" t="s">
        <v>1045</v>
      </c>
      <c r="H359">
        <v>0</v>
      </c>
      <c r="J359" s="6">
        <v>70</v>
      </c>
      <c r="K359">
        <v>4.3</v>
      </c>
      <c r="L359" t="b">
        <v>0</v>
      </c>
      <c r="M359">
        <v>0.9</v>
      </c>
      <c r="N359" s="1">
        <v>0.9</v>
      </c>
      <c r="O359" t="s">
        <v>1041</v>
      </c>
      <c r="P359" t="s">
        <v>1025</v>
      </c>
      <c r="Q359">
        <v>1</v>
      </c>
      <c r="R359">
        <v>1</v>
      </c>
    </row>
    <row r="360" spans="1:18" x14ac:dyDescent="0.25">
      <c r="A360" t="s">
        <v>743</v>
      </c>
      <c r="B360" t="s">
        <v>742</v>
      </c>
      <c r="C360" t="s">
        <v>18</v>
      </c>
      <c r="D360">
        <v>22</v>
      </c>
      <c r="E360" t="s">
        <v>1065</v>
      </c>
      <c r="F360" t="s">
        <v>1066</v>
      </c>
      <c r="G360" t="s">
        <v>1037</v>
      </c>
      <c r="H360">
        <v>1</v>
      </c>
      <c r="I360">
        <v>50</v>
      </c>
      <c r="J360" s="6">
        <v>50</v>
      </c>
      <c r="K360">
        <v>0</v>
      </c>
      <c r="L360" t="b">
        <v>0</v>
      </c>
      <c r="M360">
        <v>0.98</v>
      </c>
      <c r="N360" s="1">
        <v>0.98</v>
      </c>
      <c r="O360" t="s">
        <v>1020</v>
      </c>
      <c r="P360" t="s">
        <v>1038</v>
      </c>
      <c r="Q360">
        <v>4</v>
      </c>
      <c r="R360">
        <v>5</v>
      </c>
    </row>
    <row r="361" spans="1:18" x14ac:dyDescent="0.25">
      <c r="A361" t="s">
        <v>745</v>
      </c>
      <c r="B361" t="s">
        <v>744</v>
      </c>
      <c r="C361" t="s">
        <v>41</v>
      </c>
      <c r="D361">
        <v>20</v>
      </c>
      <c r="E361" t="s">
        <v>1051</v>
      </c>
      <c r="F361" t="s">
        <v>1052</v>
      </c>
      <c r="G361" t="s">
        <v>1046</v>
      </c>
      <c r="H361">
        <v>2</v>
      </c>
      <c r="I361">
        <v>30</v>
      </c>
      <c r="J361" s="6">
        <v>30</v>
      </c>
      <c r="K361">
        <v>2.4</v>
      </c>
      <c r="L361" t="b">
        <v>1</v>
      </c>
      <c r="M361">
        <v>0.99</v>
      </c>
      <c r="N361" s="1">
        <v>0.99</v>
      </c>
      <c r="O361" t="s">
        <v>1041</v>
      </c>
      <c r="P361" t="s">
        <v>1021</v>
      </c>
      <c r="Q361">
        <v>3</v>
      </c>
      <c r="R361">
        <v>2</v>
      </c>
    </row>
    <row r="362" spans="1:18" x14ac:dyDescent="0.25">
      <c r="A362" t="s">
        <v>747</v>
      </c>
      <c r="B362" t="s">
        <v>746</v>
      </c>
      <c r="C362" t="s">
        <v>41</v>
      </c>
      <c r="D362">
        <v>56</v>
      </c>
      <c r="E362" t="s">
        <v>1032</v>
      </c>
      <c r="F362" t="s">
        <v>1033</v>
      </c>
      <c r="G362" t="s">
        <v>1037</v>
      </c>
      <c r="H362">
        <v>9</v>
      </c>
      <c r="I362" t="s">
        <v>35</v>
      </c>
      <c r="J362" s="6">
        <v>40</v>
      </c>
      <c r="K362">
        <v>2.6</v>
      </c>
      <c r="L362" t="b">
        <v>0</v>
      </c>
      <c r="M362">
        <v>0.61</v>
      </c>
      <c r="N362" s="1">
        <v>0.61</v>
      </c>
      <c r="O362" t="s">
        <v>1041</v>
      </c>
      <c r="P362" t="s">
        <v>1038</v>
      </c>
      <c r="Q362">
        <v>10</v>
      </c>
      <c r="R362">
        <v>5</v>
      </c>
    </row>
    <row r="363" spans="1:18" x14ac:dyDescent="0.25">
      <c r="A363" t="s">
        <v>749</v>
      </c>
      <c r="B363" t="s">
        <v>748</v>
      </c>
      <c r="C363" t="s">
        <v>41</v>
      </c>
      <c r="D363">
        <v>41</v>
      </c>
      <c r="E363" t="s">
        <v>1048</v>
      </c>
      <c r="F363" t="s">
        <v>1049</v>
      </c>
      <c r="G363" t="s">
        <v>1037</v>
      </c>
      <c r="H363">
        <v>22</v>
      </c>
      <c r="I363" t="s">
        <v>62</v>
      </c>
      <c r="J363" s="6">
        <v>50</v>
      </c>
      <c r="K363">
        <v>1.6</v>
      </c>
      <c r="L363" t="b">
        <v>1</v>
      </c>
      <c r="M363">
        <v>0.61</v>
      </c>
      <c r="N363" s="1">
        <v>0.61</v>
      </c>
      <c r="O363" t="s">
        <v>1020</v>
      </c>
      <c r="P363" t="s">
        <v>1038</v>
      </c>
      <c r="Q363">
        <v>10</v>
      </c>
      <c r="R363">
        <v>10</v>
      </c>
    </row>
    <row r="364" spans="1:18" x14ac:dyDescent="0.25">
      <c r="A364" t="s">
        <v>751</v>
      </c>
      <c r="B364" t="s">
        <v>750</v>
      </c>
      <c r="C364" t="s">
        <v>41</v>
      </c>
      <c r="D364">
        <v>25</v>
      </c>
      <c r="E364" t="s">
        <v>1043</v>
      </c>
      <c r="F364" t="s">
        <v>1044</v>
      </c>
      <c r="G364" t="s">
        <v>1019</v>
      </c>
      <c r="H364">
        <v>5</v>
      </c>
      <c r="I364" t="s">
        <v>29</v>
      </c>
      <c r="J364" s="6">
        <v>30</v>
      </c>
      <c r="K364">
        <v>2.2999999999999998</v>
      </c>
      <c r="L364" t="b">
        <v>0</v>
      </c>
      <c r="M364">
        <v>0.91</v>
      </c>
      <c r="N364" s="1">
        <v>0.91</v>
      </c>
      <c r="O364" t="s">
        <v>1041</v>
      </c>
      <c r="P364" t="s">
        <v>1038</v>
      </c>
      <c r="Q364">
        <v>2</v>
      </c>
      <c r="R364">
        <v>1</v>
      </c>
    </row>
    <row r="365" spans="1:18" x14ac:dyDescent="0.25">
      <c r="A365" t="s">
        <v>753</v>
      </c>
      <c r="B365" t="s">
        <v>752</v>
      </c>
      <c r="C365" t="s">
        <v>18</v>
      </c>
      <c r="D365">
        <v>44</v>
      </c>
      <c r="E365" t="s">
        <v>1058</v>
      </c>
      <c r="F365" t="s">
        <v>1023</v>
      </c>
      <c r="G365" t="s">
        <v>1046</v>
      </c>
      <c r="H365">
        <v>6</v>
      </c>
      <c r="I365">
        <v>75</v>
      </c>
      <c r="J365" s="6">
        <v>75</v>
      </c>
      <c r="K365">
        <v>4.5999999999999996</v>
      </c>
      <c r="L365" t="b">
        <v>1</v>
      </c>
      <c r="M365">
        <v>72</v>
      </c>
      <c r="N365" s="1">
        <v>0.72</v>
      </c>
      <c r="O365" t="s">
        <v>1034</v>
      </c>
      <c r="P365" t="s">
        <v>1028</v>
      </c>
      <c r="Q365">
        <v>13</v>
      </c>
      <c r="R365">
        <v>1</v>
      </c>
    </row>
    <row r="366" spans="1:18" x14ac:dyDescent="0.25">
      <c r="A366" t="s">
        <v>755</v>
      </c>
      <c r="B366" t="s">
        <v>754</v>
      </c>
      <c r="C366" t="s">
        <v>18</v>
      </c>
      <c r="D366">
        <v>46</v>
      </c>
      <c r="E366" t="s">
        <v>1022</v>
      </c>
      <c r="F366" t="s">
        <v>1023</v>
      </c>
      <c r="G366" t="s">
        <v>1029</v>
      </c>
      <c r="H366">
        <v>26</v>
      </c>
      <c r="I366" t="s">
        <v>174</v>
      </c>
      <c r="J366" s="6">
        <v>100</v>
      </c>
      <c r="K366">
        <v>2.1</v>
      </c>
      <c r="L366" t="b">
        <v>0</v>
      </c>
      <c r="N366" s="1">
        <v>0.78</v>
      </c>
      <c r="O366" t="s">
        <v>1042</v>
      </c>
      <c r="P366" t="s">
        <v>1028</v>
      </c>
      <c r="Q366">
        <v>15</v>
      </c>
      <c r="R366">
        <v>2</v>
      </c>
    </row>
    <row r="367" spans="1:18" x14ac:dyDescent="0.25">
      <c r="A367" t="s">
        <v>757</v>
      </c>
      <c r="B367" t="s">
        <v>756</v>
      </c>
      <c r="C367" t="s">
        <v>18</v>
      </c>
      <c r="D367">
        <v>40</v>
      </c>
      <c r="E367" t="s">
        <v>1047</v>
      </c>
      <c r="F367" t="s">
        <v>1055</v>
      </c>
      <c r="G367" t="s">
        <v>1019</v>
      </c>
      <c r="H367">
        <v>10</v>
      </c>
      <c r="I367">
        <v>40</v>
      </c>
      <c r="J367" s="6">
        <v>40</v>
      </c>
      <c r="K367">
        <v>1.5</v>
      </c>
      <c r="L367" t="b">
        <v>0</v>
      </c>
      <c r="M367">
        <v>0.96</v>
      </c>
      <c r="N367" s="1">
        <v>0.96</v>
      </c>
      <c r="O367" t="s">
        <v>1041</v>
      </c>
      <c r="P367" t="s">
        <v>1021</v>
      </c>
      <c r="Q367">
        <v>4</v>
      </c>
      <c r="R367">
        <v>3</v>
      </c>
    </row>
    <row r="368" spans="1:18" x14ac:dyDescent="0.25">
      <c r="A368" t="s">
        <v>759</v>
      </c>
      <c r="B368" t="s">
        <v>758</v>
      </c>
      <c r="C368" t="s">
        <v>41</v>
      </c>
      <c r="D368">
        <v>41</v>
      </c>
      <c r="E368" t="s">
        <v>1065</v>
      </c>
      <c r="F368" t="s">
        <v>1066</v>
      </c>
      <c r="G368" t="s">
        <v>28</v>
      </c>
      <c r="H368">
        <v>9</v>
      </c>
      <c r="I368" t="s">
        <v>35</v>
      </c>
      <c r="J368" s="6">
        <v>40</v>
      </c>
      <c r="K368">
        <v>1.7</v>
      </c>
      <c r="L368" t="b">
        <v>1</v>
      </c>
      <c r="M368">
        <v>72</v>
      </c>
      <c r="N368" s="1">
        <v>0.72</v>
      </c>
      <c r="O368" t="s">
        <v>1034</v>
      </c>
      <c r="P368" t="s">
        <v>1021</v>
      </c>
      <c r="Q368">
        <v>9</v>
      </c>
      <c r="R368">
        <v>12</v>
      </c>
    </row>
    <row r="369" spans="1:18" x14ac:dyDescent="0.25">
      <c r="A369" t="s">
        <v>761</v>
      </c>
      <c r="B369" t="s">
        <v>760</v>
      </c>
      <c r="C369" t="s">
        <v>41</v>
      </c>
      <c r="D369">
        <v>31</v>
      </c>
      <c r="E369" t="s">
        <v>1048</v>
      </c>
      <c r="F369" t="s">
        <v>1049</v>
      </c>
      <c r="G369" t="s">
        <v>1037</v>
      </c>
      <c r="H369">
        <v>11</v>
      </c>
      <c r="J369" s="6">
        <v>70</v>
      </c>
      <c r="K369">
        <v>3.3</v>
      </c>
      <c r="L369" t="b">
        <v>0</v>
      </c>
      <c r="N369" s="1">
        <v>0.78</v>
      </c>
      <c r="O369" t="s">
        <v>1041</v>
      </c>
      <c r="P369" t="s">
        <v>1028</v>
      </c>
      <c r="Q369">
        <v>15</v>
      </c>
      <c r="R369">
        <v>10</v>
      </c>
    </row>
    <row r="370" spans="1:18" x14ac:dyDescent="0.25">
      <c r="A370" t="s">
        <v>763</v>
      </c>
      <c r="B370" t="s">
        <v>762</v>
      </c>
      <c r="C370" t="s">
        <v>41</v>
      </c>
      <c r="D370">
        <v>33</v>
      </c>
      <c r="E370" t="s">
        <v>1047</v>
      </c>
      <c r="F370" t="s">
        <v>1055</v>
      </c>
      <c r="G370" t="s">
        <v>1031</v>
      </c>
      <c r="H370">
        <v>10</v>
      </c>
      <c r="I370" t="s">
        <v>24</v>
      </c>
      <c r="J370" s="6">
        <v>40</v>
      </c>
      <c r="K370">
        <v>4.3</v>
      </c>
      <c r="L370" t="b">
        <v>1</v>
      </c>
      <c r="M370">
        <v>0.63</v>
      </c>
      <c r="N370" s="1">
        <v>0.63</v>
      </c>
      <c r="O370" t="s">
        <v>1042</v>
      </c>
      <c r="P370" t="s">
        <v>1021</v>
      </c>
      <c r="Q370">
        <v>2</v>
      </c>
      <c r="R370">
        <v>4</v>
      </c>
    </row>
    <row r="371" spans="1:18" x14ac:dyDescent="0.25">
      <c r="A371" t="s">
        <v>765</v>
      </c>
      <c r="B371" t="s">
        <v>764</v>
      </c>
      <c r="C371" t="s">
        <v>18</v>
      </c>
      <c r="D371">
        <v>31</v>
      </c>
      <c r="E371" t="s">
        <v>1053</v>
      </c>
      <c r="F371" t="s">
        <v>1054</v>
      </c>
      <c r="G371" t="s">
        <v>1031</v>
      </c>
      <c r="H371">
        <v>3</v>
      </c>
      <c r="I371" t="s">
        <v>80</v>
      </c>
      <c r="J371" s="6">
        <v>20</v>
      </c>
      <c r="K371">
        <v>2.4</v>
      </c>
      <c r="L371" t="b">
        <v>0</v>
      </c>
      <c r="N371" s="1">
        <v>0.78</v>
      </c>
      <c r="O371" t="s">
        <v>1034</v>
      </c>
      <c r="P371" t="s">
        <v>1028</v>
      </c>
      <c r="Q371">
        <v>1</v>
      </c>
      <c r="R371">
        <v>2</v>
      </c>
    </row>
    <row r="372" spans="1:18" x14ac:dyDescent="0.25">
      <c r="A372" t="s">
        <v>767</v>
      </c>
      <c r="B372" t="s">
        <v>766</v>
      </c>
      <c r="C372" t="s">
        <v>18</v>
      </c>
      <c r="D372">
        <v>49</v>
      </c>
      <c r="E372" t="s">
        <v>1017</v>
      </c>
      <c r="F372" t="s">
        <v>1018</v>
      </c>
      <c r="G372" t="s">
        <v>1037</v>
      </c>
      <c r="H372">
        <v>15</v>
      </c>
      <c r="I372" t="s">
        <v>32</v>
      </c>
      <c r="J372" s="6">
        <v>75</v>
      </c>
      <c r="K372">
        <v>2.6</v>
      </c>
      <c r="L372" t="b">
        <v>0</v>
      </c>
      <c r="M372">
        <v>0.83</v>
      </c>
      <c r="N372" s="1">
        <v>0.83</v>
      </c>
      <c r="O372" t="s">
        <v>1042</v>
      </c>
      <c r="P372" t="s">
        <v>1025</v>
      </c>
      <c r="Q372">
        <v>13</v>
      </c>
      <c r="R372">
        <v>9</v>
      </c>
    </row>
    <row r="373" spans="1:18" x14ac:dyDescent="0.25">
      <c r="A373" t="s">
        <v>769</v>
      </c>
      <c r="B373" t="s">
        <v>768</v>
      </c>
      <c r="C373" t="s">
        <v>41</v>
      </c>
      <c r="D373">
        <v>35</v>
      </c>
      <c r="E373" t="s">
        <v>1067</v>
      </c>
      <c r="F373" t="s">
        <v>1044</v>
      </c>
      <c r="G373" t="s">
        <v>1027</v>
      </c>
      <c r="H373">
        <v>12</v>
      </c>
      <c r="I373" t="s">
        <v>259</v>
      </c>
      <c r="J373" s="6">
        <v>20</v>
      </c>
      <c r="K373">
        <v>4.0999999999999996</v>
      </c>
      <c r="L373" t="b">
        <v>0</v>
      </c>
      <c r="M373">
        <v>0.94</v>
      </c>
      <c r="N373" s="1">
        <v>0.94</v>
      </c>
      <c r="O373" t="s">
        <v>1042</v>
      </c>
      <c r="P373" t="s">
        <v>1038</v>
      </c>
      <c r="Q373">
        <v>8</v>
      </c>
      <c r="R373">
        <v>5</v>
      </c>
    </row>
    <row r="374" spans="1:18" x14ac:dyDescent="0.25">
      <c r="A374" t="s">
        <v>771</v>
      </c>
      <c r="B374" t="s">
        <v>770</v>
      </c>
      <c r="C374" t="s">
        <v>41</v>
      </c>
      <c r="D374">
        <v>45</v>
      </c>
      <c r="E374" t="s">
        <v>1051</v>
      </c>
      <c r="F374" t="s">
        <v>1052</v>
      </c>
      <c r="G374" t="s">
        <v>1037</v>
      </c>
      <c r="H374">
        <v>19</v>
      </c>
      <c r="I374" t="s">
        <v>24</v>
      </c>
      <c r="J374" s="6">
        <v>40</v>
      </c>
      <c r="K374">
        <v>2.2000000000000002</v>
      </c>
      <c r="L374" t="b">
        <v>1</v>
      </c>
      <c r="M374">
        <v>0.78</v>
      </c>
      <c r="N374" s="1">
        <v>0.78</v>
      </c>
      <c r="O374" t="s">
        <v>1034</v>
      </c>
      <c r="P374" t="s">
        <v>1038</v>
      </c>
      <c r="Q374">
        <v>10</v>
      </c>
      <c r="R374">
        <v>14</v>
      </c>
    </row>
    <row r="375" spans="1:18" x14ac:dyDescent="0.25">
      <c r="A375" t="s">
        <v>773</v>
      </c>
      <c r="B375" t="s">
        <v>772</v>
      </c>
      <c r="C375" t="s">
        <v>18</v>
      </c>
      <c r="D375">
        <v>39</v>
      </c>
      <c r="E375" t="s">
        <v>1032</v>
      </c>
      <c r="F375" t="s">
        <v>1033</v>
      </c>
      <c r="G375" t="s">
        <v>1037</v>
      </c>
      <c r="H375">
        <v>13</v>
      </c>
      <c r="I375">
        <v>30</v>
      </c>
      <c r="J375" s="6">
        <v>30</v>
      </c>
      <c r="K375">
        <v>1.1000000000000001</v>
      </c>
      <c r="L375" t="b">
        <v>1</v>
      </c>
      <c r="N375" s="1">
        <v>0.78</v>
      </c>
      <c r="O375" t="s">
        <v>1034</v>
      </c>
      <c r="P375" t="s">
        <v>1021</v>
      </c>
      <c r="Q375">
        <v>8</v>
      </c>
      <c r="R375">
        <v>4</v>
      </c>
    </row>
    <row r="376" spans="1:18" x14ac:dyDescent="0.25">
      <c r="A376" t="s">
        <v>775</v>
      </c>
      <c r="B376" t="s">
        <v>774</v>
      </c>
      <c r="C376" t="s">
        <v>41</v>
      </c>
      <c r="D376">
        <v>41</v>
      </c>
      <c r="E376" t="s">
        <v>1043</v>
      </c>
      <c r="F376" t="s">
        <v>1044</v>
      </c>
      <c r="G376" t="s">
        <v>1019</v>
      </c>
      <c r="H376">
        <v>10</v>
      </c>
      <c r="I376" t="s">
        <v>42</v>
      </c>
      <c r="J376" s="6">
        <v>50</v>
      </c>
      <c r="K376">
        <v>2.1</v>
      </c>
      <c r="L376" t="b">
        <v>1</v>
      </c>
      <c r="M376">
        <v>0.82</v>
      </c>
      <c r="N376" s="1">
        <v>0.82</v>
      </c>
      <c r="O376" t="s">
        <v>1034</v>
      </c>
      <c r="P376" t="s">
        <v>1028</v>
      </c>
      <c r="Q376">
        <v>1</v>
      </c>
      <c r="R376">
        <v>1</v>
      </c>
    </row>
    <row r="377" spans="1:18" x14ac:dyDescent="0.25">
      <c r="A377" t="s">
        <v>777</v>
      </c>
      <c r="B377" t="s">
        <v>776</v>
      </c>
      <c r="C377" t="s">
        <v>41</v>
      </c>
      <c r="D377">
        <v>24</v>
      </c>
      <c r="E377" t="s">
        <v>1026</v>
      </c>
      <c r="F377" t="s">
        <v>1026</v>
      </c>
      <c r="G377" t="s">
        <v>1046</v>
      </c>
      <c r="H377">
        <v>3</v>
      </c>
      <c r="I377" t="s">
        <v>29</v>
      </c>
      <c r="J377" s="6">
        <v>30</v>
      </c>
      <c r="K377">
        <v>2.2999999999999998</v>
      </c>
      <c r="L377" t="b">
        <v>0</v>
      </c>
      <c r="M377">
        <v>0.66</v>
      </c>
      <c r="N377" s="1">
        <v>0.66</v>
      </c>
      <c r="O377" t="s">
        <v>1020</v>
      </c>
      <c r="P377" t="s">
        <v>1028</v>
      </c>
      <c r="Q377">
        <v>4</v>
      </c>
      <c r="R377">
        <v>5</v>
      </c>
    </row>
    <row r="378" spans="1:18" x14ac:dyDescent="0.25">
      <c r="A378" t="s">
        <v>779</v>
      </c>
      <c r="B378" t="s">
        <v>778</v>
      </c>
      <c r="C378" t="s">
        <v>41</v>
      </c>
      <c r="D378">
        <v>50</v>
      </c>
      <c r="E378" t="s">
        <v>1022</v>
      </c>
      <c r="F378" t="s">
        <v>1023</v>
      </c>
      <c r="G378" t="s">
        <v>1027</v>
      </c>
      <c r="H378">
        <v>26</v>
      </c>
      <c r="J378" s="6">
        <v>70</v>
      </c>
      <c r="K378">
        <v>3.6</v>
      </c>
      <c r="L378" t="b">
        <v>1</v>
      </c>
      <c r="M378">
        <v>82</v>
      </c>
      <c r="N378" s="1">
        <v>0.82</v>
      </c>
      <c r="O378" t="s">
        <v>1034</v>
      </c>
      <c r="P378" t="s">
        <v>1021</v>
      </c>
      <c r="Q378">
        <v>11</v>
      </c>
      <c r="R378">
        <v>9</v>
      </c>
    </row>
    <row r="379" spans="1:18" x14ac:dyDescent="0.25">
      <c r="A379" t="s">
        <v>781</v>
      </c>
      <c r="B379" t="s">
        <v>780</v>
      </c>
      <c r="C379" t="s">
        <v>18</v>
      </c>
      <c r="D379">
        <v>23</v>
      </c>
      <c r="E379" t="s">
        <v>1026</v>
      </c>
      <c r="F379" t="s">
        <v>1026</v>
      </c>
      <c r="G379" t="s">
        <v>1031</v>
      </c>
      <c r="H379">
        <v>4</v>
      </c>
      <c r="I379" t="s">
        <v>259</v>
      </c>
      <c r="J379" s="6">
        <v>20</v>
      </c>
      <c r="K379">
        <v>4.7</v>
      </c>
      <c r="L379" t="b">
        <v>1</v>
      </c>
      <c r="M379">
        <v>0.84</v>
      </c>
      <c r="N379" s="1">
        <v>0.84</v>
      </c>
      <c r="O379" t="s">
        <v>1034</v>
      </c>
      <c r="P379" t="s">
        <v>1028</v>
      </c>
      <c r="Q379">
        <v>4</v>
      </c>
      <c r="R379">
        <v>4</v>
      </c>
    </row>
    <row r="380" spans="1:18" x14ac:dyDescent="0.25">
      <c r="A380" t="s">
        <v>783</v>
      </c>
      <c r="B380" t="s">
        <v>782</v>
      </c>
      <c r="C380" t="s">
        <v>41</v>
      </c>
      <c r="D380">
        <v>27</v>
      </c>
      <c r="E380" t="s">
        <v>1058</v>
      </c>
      <c r="F380" t="s">
        <v>1023</v>
      </c>
      <c r="G380" t="s">
        <v>1046</v>
      </c>
      <c r="H380">
        <v>8</v>
      </c>
      <c r="I380">
        <v>20</v>
      </c>
      <c r="J380" s="6">
        <v>20</v>
      </c>
      <c r="K380">
        <v>4.8</v>
      </c>
      <c r="L380" t="b">
        <v>0</v>
      </c>
      <c r="M380">
        <v>0.81</v>
      </c>
      <c r="N380" s="1">
        <v>0.81</v>
      </c>
      <c r="O380" t="s">
        <v>1034</v>
      </c>
      <c r="P380" t="s">
        <v>1025</v>
      </c>
      <c r="Q380">
        <v>6</v>
      </c>
      <c r="R380">
        <v>8</v>
      </c>
    </row>
    <row r="381" spans="1:18" x14ac:dyDescent="0.25">
      <c r="A381" t="s">
        <v>785</v>
      </c>
      <c r="B381" t="s">
        <v>784</v>
      </c>
      <c r="C381" t="s">
        <v>41</v>
      </c>
      <c r="D381">
        <v>58</v>
      </c>
      <c r="E381" t="s">
        <v>1063</v>
      </c>
      <c r="F381" t="s">
        <v>1064</v>
      </c>
      <c r="G381" t="s">
        <v>28</v>
      </c>
      <c r="H381">
        <v>10</v>
      </c>
      <c r="I381">
        <v>75</v>
      </c>
      <c r="J381" s="6">
        <v>75</v>
      </c>
      <c r="K381">
        <v>4.2</v>
      </c>
      <c r="L381" t="b">
        <v>0</v>
      </c>
      <c r="M381">
        <v>71</v>
      </c>
      <c r="N381" s="1">
        <v>0.71</v>
      </c>
      <c r="O381" t="s">
        <v>1034</v>
      </c>
      <c r="P381" t="s">
        <v>1038</v>
      </c>
      <c r="Q381">
        <v>7</v>
      </c>
      <c r="R381">
        <v>5</v>
      </c>
    </row>
    <row r="382" spans="1:18" x14ac:dyDescent="0.25">
      <c r="A382" t="s">
        <v>787</v>
      </c>
      <c r="B382" t="s">
        <v>786</v>
      </c>
      <c r="C382" t="s">
        <v>41</v>
      </c>
      <c r="D382">
        <v>37</v>
      </c>
      <c r="E382" t="s">
        <v>1017</v>
      </c>
      <c r="F382" t="s">
        <v>1018</v>
      </c>
      <c r="G382" t="s">
        <v>1031</v>
      </c>
      <c r="H382">
        <v>5</v>
      </c>
      <c r="J382" s="6">
        <v>70</v>
      </c>
      <c r="K382">
        <v>4.8</v>
      </c>
      <c r="L382" t="b">
        <v>1</v>
      </c>
      <c r="M382">
        <v>0.61</v>
      </c>
      <c r="N382" s="1">
        <v>0.61</v>
      </c>
      <c r="O382" t="s">
        <v>1041</v>
      </c>
      <c r="P382" t="s">
        <v>1021</v>
      </c>
      <c r="Q382">
        <v>2</v>
      </c>
      <c r="R382">
        <v>1</v>
      </c>
    </row>
    <row r="383" spans="1:18" x14ac:dyDescent="0.25">
      <c r="A383" t="s">
        <v>789</v>
      </c>
      <c r="B383" t="s">
        <v>788</v>
      </c>
      <c r="C383" t="s">
        <v>41</v>
      </c>
      <c r="D383">
        <v>39</v>
      </c>
      <c r="E383" t="s">
        <v>1068</v>
      </c>
      <c r="F383" t="s">
        <v>1044</v>
      </c>
      <c r="G383" t="s">
        <v>1019</v>
      </c>
      <c r="H383">
        <v>18</v>
      </c>
      <c r="I383">
        <v>75</v>
      </c>
      <c r="J383" s="6">
        <v>75</v>
      </c>
      <c r="K383">
        <v>4</v>
      </c>
      <c r="L383" t="b">
        <v>1</v>
      </c>
      <c r="M383">
        <v>0.66</v>
      </c>
      <c r="N383" s="1">
        <v>0.66</v>
      </c>
      <c r="O383" t="s">
        <v>1020</v>
      </c>
      <c r="P383" t="s">
        <v>1021</v>
      </c>
      <c r="Q383">
        <v>10</v>
      </c>
      <c r="R383">
        <v>8</v>
      </c>
    </row>
    <row r="384" spans="1:18" x14ac:dyDescent="0.25">
      <c r="A384" t="s">
        <v>791</v>
      </c>
      <c r="B384" t="s">
        <v>790</v>
      </c>
      <c r="C384" t="s">
        <v>18</v>
      </c>
      <c r="D384">
        <v>46</v>
      </c>
      <c r="E384" t="s">
        <v>1061</v>
      </c>
      <c r="F384" t="s">
        <v>1062</v>
      </c>
      <c r="G384" t="s">
        <v>1037</v>
      </c>
      <c r="H384">
        <v>10</v>
      </c>
      <c r="I384" t="s">
        <v>80</v>
      </c>
      <c r="J384" s="6">
        <v>20</v>
      </c>
      <c r="K384">
        <v>2.4</v>
      </c>
      <c r="L384" t="b">
        <v>1</v>
      </c>
      <c r="M384">
        <v>0.97</v>
      </c>
      <c r="N384" s="1">
        <v>0.97</v>
      </c>
      <c r="O384" t="s">
        <v>1042</v>
      </c>
      <c r="P384" t="s">
        <v>1028</v>
      </c>
      <c r="Q384">
        <v>13</v>
      </c>
      <c r="R384">
        <v>2</v>
      </c>
    </row>
    <row r="385" spans="1:18" x14ac:dyDescent="0.25">
      <c r="A385" t="s">
        <v>793</v>
      </c>
      <c r="B385" t="s">
        <v>792</v>
      </c>
      <c r="C385" t="s">
        <v>18</v>
      </c>
      <c r="D385">
        <v>41</v>
      </c>
      <c r="E385" t="s">
        <v>45</v>
      </c>
      <c r="F385" t="s">
        <v>1023</v>
      </c>
      <c r="G385" t="s">
        <v>1045</v>
      </c>
      <c r="H385">
        <v>0</v>
      </c>
      <c r="I385" t="s">
        <v>259</v>
      </c>
      <c r="J385" s="6">
        <v>20</v>
      </c>
      <c r="K385">
        <v>4.8</v>
      </c>
      <c r="L385" t="b">
        <v>0</v>
      </c>
      <c r="M385">
        <v>0.74</v>
      </c>
      <c r="N385" s="1">
        <v>0.74</v>
      </c>
      <c r="O385" t="s">
        <v>1034</v>
      </c>
      <c r="P385" t="s">
        <v>1021</v>
      </c>
      <c r="Q385">
        <v>2</v>
      </c>
      <c r="R385">
        <v>1</v>
      </c>
    </row>
    <row r="386" spans="1:18" x14ac:dyDescent="0.25">
      <c r="A386" t="s">
        <v>795</v>
      </c>
      <c r="B386" t="s">
        <v>794</v>
      </c>
      <c r="C386" t="s">
        <v>18</v>
      </c>
      <c r="D386">
        <v>39</v>
      </c>
      <c r="E386" t="s">
        <v>1067</v>
      </c>
      <c r="F386" t="s">
        <v>1044</v>
      </c>
      <c r="G386" t="s">
        <v>1019</v>
      </c>
      <c r="H386">
        <v>21</v>
      </c>
      <c r="I386">
        <v>30</v>
      </c>
      <c r="J386" s="6">
        <v>30</v>
      </c>
      <c r="K386">
        <v>4.7</v>
      </c>
      <c r="L386" t="b">
        <v>0</v>
      </c>
      <c r="M386">
        <v>0.61</v>
      </c>
      <c r="N386" s="1">
        <v>0.61</v>
      </c>
      <c r="O386" t="s">
        <v>1041</v>
      </c>
      <c r="P386" t="s">
        <v>1025</v>
      </c>
      <c r="Q386">
        <v>15</v>
      </c>
      <c r="R386">
        <v>6</v>
      </c>
    </row>
    <row r="387" spans="1:18" x14ac:dyDescent="0.25">
      <c r="A387" t="s">
        <v>797</v>
      </c>
      <c r="B387" t="s">
        <v>796</v>
      </c>
      <c r="C387" t="s">
        <v>41</v>
      </c>
      <c r="D387">
        <v>59</v>
      </c>
      <c r="E387" t="s">
        <v>1061</v>
      </c>
      <c r="F387" t="s">
        <v>1062</v>
      </c>
      <c r="G387" t="s">
        <v>1019</v>
      </c>
      <c r="H387">
        <v>25</v>
      </c>
      <c r="I387">
        <v>20</v>
      </c>
      <c r="J387" s="6">
        <v>20</v>
      </c>
      <c r="K387">
        <v>4</v>
      </c>
      <c r="L387" t="b">
        <v>0</v>
      </c>
      <c r="M387">
        <v>0.9</v>
      </c>
      <c r="N387" s="1">
        <v>0.9</v>
      </c>
      <c r="O387" t="s">
        <v>1041</v>
      </c>
      <c r="P387" t="s">
        <v>1028</v>
      </c>
      <c r="Q387">
        <v>15</v>
      </c>
      <c r="R387">
        <v>9</v>
      </c>
    </row>
    <row r="388" spans="1:18" x14ac:dyDescent="0.25">
      <c r="A388" t="s">
        <v>799</v>
      </c>
      <c r="B388" t="s">
        <v>798</v>
      </c>
      <c r="C388" t="s">
        <v>41</v>
      </c>
      <c r="D388">
        <v>21</v>
      </c>
      <c r="E388" t="s">
        <v>1032</v>
      </c>
      <c r="F388" t="s">
        <v>1033</v>
      </c>
      <c r="G388" t="s">
        <v>1050</v>
      </c>
      <c r="H388">
        <v>0</v>
      </c>
      <c r="I388" t="s">
        <v>24</v>
      </c>
      <c r="J388" s="6">
        <v>40</v>
      </c>
      <c r="K388">
        <v>4.0999999999999996</v>
      </c>
      <c r="L388" t="b">
        <v>1</v>
      </c>
      <c r="M388">
        <v>0.97</v>
      </c>
      <c r="N388" s="1">
        <v>0.97</v>
      </c>
      <c r="O388" t="s">
        <v>1041</v>
      </c>
      <c r="P388" t="s">
        <v>1028</v>
      </c>
      <c r="Q388">
        <v>4</v>
      </c>
      <c r="R388">
        <v>1</v>
      </c>
    </row>
    <row r="389" spans="1:18" x14ac:dyDescent="0.25">
      <c r="A389" t="s">
        <v>801</v>
      </c>
      <c r="B389" t="s">
        <v>800</v>
      </c>
      <c r="C389" t="s">
        <v>18</v>
      </c>
      <c r="D389">
        <v>23</v>
      </c>
      <c r="E389" t="s">
        <v>1058</v>
      </c>
      <c r="F389" t="s">
        <v>1023</v>
      </c>
      <c r="G389" t="s">
        <v>1050</v>
      </c>
      <c r="H389">
        <v>5</v>
      </c>
      <c r="I389">
        <v>100</v>
      </c>
      <c r="J389" s="6">
        <v>100</v>
      </c>
      <c r="K389">
        <v>3.2</v>
      </c>
      <c r="L389" t="b">
        <v>1</v>
      </c>
      <c r="N389" s="1">
        <v>0.78</v>
      </c>
      <c r="O389" t="s">
        <v>1042</v>
      </c>
      <c r="P389" t="s">
        <v>1028</v>
      </c>
      <c r="Q389">
        <v>5</v>
      </c>
      <c r="R389">
        <v>5</v>
      </c>
    </row>
    <row r="390" spans="1:18" x14ac:dyDescent="0.25">
      <c r="A390" t="s">
        <v>803</v>
      </c>
      <c r="B390" t="s">
        <v>802</v>
      </c>
      <c r="C390" t="s">
        <v>41</v>
      </c>
      <c r="D390">
        <v>27</v>
      </c>
      <c r="E390" t="s">
        <v>1061</v>
      </c>
      <c r="F390" t="s">
        <v>1062</v>
      </c>
      <c r="G390" t="s">
        <v>1029</v>
      </c>
      <c r="H390">
        <v>1</v>
      </c>
      <c r="I390">
        <v>20</v>
      </c>
      <c r="J390" s="6">
        <v>20</v>
      </c>
      <c r="K390">
        <v>4.3</v>
      </c>
      <c r="L390" t="b">
        <v>0</v>
      </c>
      <c r="M390">
        <v>0.76</v>
      </c>
      <c r="N390" s="1">
        <v>0.76</v>
      </c>
      <c r="O390" t="s">
        <v>1034</v>
      </c>
      <c r="P390" t="s">
        <v>1028</v>
      </c>
      <c r="Q390">
        <v>4</v>
      </c>
      <c r="R390">
        <v>3</v>
      </c>
    </row>
    <row r="391" spans="1:18" x14ac:dyDescent="0.25">
      <c r="A391" t="s">
        <v>805</v>
      </c>
      <c r="B391" t="s">
        <v>804</v>
      </c>
      <c r="C391" t="s">
        <v>41</v>
      </c>
      <c r="D391">
        <v>27</v>
      </c>
      <c r="E391" t="s">
        <v>1065</v>
      </c>
      <c r="F391" t="s">
        <v>1066</v>
      </c>
      <c r="G391" t="s">
        <v>1046</v>
      </c>
      <c r="H391">
        <v>4</v>
      </c>
      <c r="I391">
        <v>40</v>
      </c>
      <c r="J391" s="6">
        <v>40</v>
      </c>
      <c r="K391">
        <v>4.4000000000000004</v>
      </c>
      <c r="L391" t="b">
        <v>0</v>
      </c>
      <c r="M391">
        <v>0.92</v>
      </c>
      <c r="N391" s="1">
        <v>0.92</v>
      </c>
      <c r="O391" t="s">
        <v>1020</v>
      </c>
      <c r="P391" t="s">
        <v>1025</v>
      </c>
      <c r="Q391">
        <v>4</v>
      </c>
      <c r="R391">
        <v>4</v>
      </c>
    </row>
    <row r="392" spans="1:18" x14ac:dyDescent="0.25">
      <c r="A392" t="s">
        <v>807</v>
      </c>
      <c r="B392" t="s">
        <v>806</v>
      </c>
      <c r="C392" t="s">
        <v>18</v>
      </c>
      <c r="D392">
        <v>48</v>
      </c>
      <c r="E392" t="s">
        <v>1063</v>
      </c>
      <c r="F392" t="s">
        <v>1064</v>
      </c>
      <c r="G392" t="s">
        <v>1037</v>
      </c>
      <c r="H392">
        <v>21</v>
      </c>
      <c r="I392">
        <v>40</v>
      </c>
      <c r="J392" s="6">
        <v>40</v>
      </c>
      <c r="K392">
        <v>2.2999999999999998</v>
      </c>
      <c r="L392" t="b">
        <v>0</v>
      </c>
      <c r="N392" s="1">
        <v>0.78</v>
      </c>
      <c r="O392" t="s">
        <v>1020</v>
      </c>
      <c r="P392" t="s">
        <v>1028</v>
      </c>
      <c r="Q392">
        <v>14</v>
      </c>
      <c r="R392">
        <v>10</v>
      </c>
    </row>
    <row r="393" spans="1:18" x14ac:dyDescent="0.25">
      <c r="A393" t="s">
        <v>809</v>
      </c>
      <c r="B393" t="s">
        <v>808</v>
      </c>
      <c r="C393" t="s">
        <v>41</v>
      </c>
      <c r="D393">
        <v>21</v>
      </c>
      <c r="E393" t="s">
        <v>1063</v>
      </c>
      <c r="F393" t="s">
        <v>1064</v>
      </c>
      <c r="G393" t="s">
        <v>28</v>
      </c>
      <c r="H393">
        <v>1</v>
      </c>
      <c r="I393" t="s">
        <v>80</v>
      </c>
      <c r="J393" s="6">
        <v>20</v>
      </c>
      <c r="K393">
        <v>2.4</v>
      </c>
      <c r="L393" t="b">
        <v>1</v>
      </c>
      <c r="M393">
        <v>0.66</v>
      </c>
      <c r="N393" s="1">
        <v>0.66</v>
      </c>
      <c r="O393" t="s">
        <v>1041</v>
      </c>
      <c r="P393" t="s">
        <v>1021</v>
      </c>
      <c r="Q393">
        <v>4</v>
      </c>
      <c r="R393">
        <v>4</v>
      </c>
    </row>
    <row r="394" spans="1:18" x14ac:dyDescent="0.25">
      <c r="A394" t="s">
        <v>811</v>
      </c>
      <c r="B394" t="s">
        <v>810</v>
      </c>
      <c r="C394" t="s">
        <v>41</v>
      </c>
      <c r="D394">
        <v>37</v>
      </c>
      <c r="E394" t="s">
        <v>1017</v>
      </c>
      <c r="F394" t="s">
        <v>1018</v>
      </c>
      <c r="G394" t="s">
        <v>1050</v>
      </c>
      <c r="H394">
        <v>10</v>
      </c>
      <c r="I394">
        <v>50</v>
      </c>
      <c r="J394" s="6">
        <v>50</v>
      </c>
      <c r="K394">
        <v>4.5999999999999996</v>
      </c>
      <c r="L394" t="b">
        <v>0</v>
      </c>
      <c r="M394">
        <v>0.83</v>
      </c>
      <c r="N394" s="1">
        <v>0.83</v>
      </c>
      <c r="O394" t="s">
        <v>1042</v>
      </c>
      <c r="P394" t="s">
        <v>1025</v>
      </c>
      <c r="Q394">
        <v>1</v>
      </c>
      <c r="R394">
        <v>1</v>
      </c>
    </row>
    <row r="395" spans="1:18" x14ac:dyDescent="0.25">
      <c r="A395" t="s">
        <v>813</v>
      </c>
      <c r="B395" t="s">
        <v>812</v>
      </c>
      <c r="C395" t="s">
        <v>18</v>
      </c>
      <c r="D395">
        <v>31</v>
      </c>
      <c r="E395" t="s">
        <v>1026</v>
      </c>
      <c r="F395" t="s">
        <v>1026</v>
      </c>
      <c r="G395" t="s">
        <v>1045</v>
      </c>
      <c r="H395">
        <v>10</v>
      </c>
      <c r="I395">
        <v>50</v>
      </c>
      <c r="J395" s="6">
        <v>50</v>
      </c>
      <c r="K395">
        <v>0</v>
      </c>
      <c r="L395" t="b">
        <v>0</v>
      </c>
      <c r="N395" s="1">
        <v>0.78</v>
      </c>
      <c r="O395" t="s">
        <v>1042</v>
      </c>
      <c r="P395" t="s">
        <v>1038</v>
      </c>
      <c r="Q395">
        <v>10</v>
      </c>
      <c r="R395">
        <v>4</v>
      </c>
    </row>
    <row r="396" spans="1:18" x14ac:dyDescent="0.25">
      <c r="A396" t="s">
        <v>815</v>
      </c>
      <c r="B396" t="s">
        <v>814</v>
      </c>
      <c r="C396" t="s">
        <v>18</v>
      </c>
      <c r="D396">
        <v>41</v>
      </c>
      <c r="E396" t="s">
        <v>1061</v>
      </c>
      <c r="F396" t="s">
        <v>1062</v>
      </c>
      <c r="G396" t="s">
        <v>1019</v>
      </c>
      <c r="H396">
        <v>21</v>
      </c>
      <c r="J396" s="6">
        <v>70</v>
      </c>
      <c r="K396">
        <v>0</v>
      </c>
      <c r="L396" t="b">
        <v>1</v>
      </c>
      <c r="N396" s="1">
        <v>0.78</v>
      </c>
      <c r="O396" t="s">
        <v>1042</v>
      </c>
      <c r="P396" t="s">
        <v>1038</v>
      </c>
      <c r="Q396">
        <v>10</v>
      </c>
      <c r="R396">
        <v>9</v>
      </c>
    </row>
    <row r="397" spans="1:18" x14ac:dyDescent="0.25">
      <c r="A397" t="s">
        <v>1072</v>
      </c>
      <c r="B397" t="s">
        <v>816</v>
      </c>
      <c r="C397" t="s">
        <v>41</v>
      </c>
      <c r="D397">
        <v>31</v>
      </c>
      <c r="E397" t="s">
        <v>1056</v>
      </c>
      <c r="F397" t="s">
        <v>1057</v>
      </c>
      <c r="G397" t="s">
        <v>1046</v>
      </c>
      <c r="H397">
        <v>0</v>
      </c>
      <c r="I397" t="s">
        <v>80</v>
      </c>
      <c r="J397" s="6">
        <v>20</v>
      </c>
      <c r="K397">
        <v>4.2</v>
      </c>
      <c r="L397" t="b">
        <v>1</v>
      </c>
      <c r="M397">
        <v>82</v>
      </c>
      <c r="N397" s="1">
        <v>0.82</v>
      </c>
      <c r="O397" t="s">
        <v>1020</v>
      </c>
      <c r="P397" t="s">
        <v>1021</v>
      </c>
      <c r="Q397">
        <v>5</v>
      </c>
      <c r="R397">
        <v>1</v>
      </c>
    </row>
    <row r="398" spans="1:18" x14ac:dyDescent="0.25">
      <c r="A398" t="s">
        <v>818</v>
      </c>
      <c r="B398" t="s">
        <v>817</v>
      </c>
      <c r="C398" t="s">
        <v>18</v>
      </c>
      <c r="D398">
        <v>58</v>
      </c>
      <c r="E398" t="s">
        <v>1043</v>
      </c>
      <c r="F398" t="s">
        <v>1044</v>
      </c>
      <c r="G398" t="s">
        <v>1037</v>
      </c>
      <c r="H398">
        <v>0</v>
      </c>
      <c r="I398">
        <v>50</v>
      </c>
      <c r="J398" s="6">
        <v>50</v>
      </c>
      <c r="K398">
        <v>2.2999999999999998</v>
      </c>
      <c r="L398" t="b">
        <v>0</v>
      </c>
      <c r="M398">
        <v>0.77</v>
      </c>
      <c r="N398" s="1">
        <v>0.77</v>
      </c>
      <c r="O398" t="s">
        <v>1041</v>
      </c>
      <c r="P398" t="s">
        <v>1021</v>
      </c>
      <c r="Q398">
        <v>5</v>
      </c>
      <c r="R398">
        <v>2</v>
      </c>
    </row>
    <row r="399" spans="1:18" x14ac:dyDescent="0.25">
      <c r="A399" t="s">
        <v>820</v>
      </c>
      <c r="B399" t="s">
        <v>819</v>
      </c>
      <c r="C399" t="s">
        <v>18</v>
      </c>
      <c r="D399">
        <v>45</v>
      </c>
      <c r="E399" t="s">
        <v>1032</v>
      </c>
      <c r="F399" t="s">
        <v>1033</v>
      </c>
      <c r="G399" t="s">
        <v>1037</v>
      </c>
      <c r="H399">
        <v>17</v>
      </c>
      <c r="I399" t="s">
        <v>42</v>
      </c>
      <c r="J399" s="6">
        <v>50</v>
      </c>
      <c r="K399">
        <v>4.7</v>
      </c>
      <c r="L399" t="b">
        <v>1</v>
      </c>
      <c r="M399">
        <v>0.73</v>
      </c>
      <c r="N399" s="1">
        <v>0.73</v>
      </c>
      <c r="O399" t="s">
        <v>1034</v>
      </c>
      <c r="P399" t="s">
        <v>1025</v>
      </c>
      <c r="Q399">
        <v>15</v>
      </c>
      <c r="R399">
        <v>11</v>
      </c>
    </row>
    <row r="400" spans="1:18" x14ac:dyDescent="0.25">
      <c r="A400" t="s">
        <v>822</v>
      </c>
      <c r="B400" t="s">
        <v>821</v>
      </c>
      <c r="C400" t="s">
        <v>41</v>
      </c>
      <c r="D400">
        <v>51</v>
      </c>
      <c r="E400" t="s">
        <v>1047</v>
      </c>
      <c r="F400" t="s">
        <v>1055</v>
      </c>
      <c r="G400" t="s">
        <v>1046</v>
      </c>
      <c r="H400">
        <v>5</v>
      </c>
      <c r="J400" s="6">
        <v>70</v>
      </c>
      <c r="K400">
        <v>3</v>
      </c>
      <c r="L400" t="b">
        <v>1</v>
      </c>
      <c r="M400">
        <v>0.88</v>
      </c>
      <c r="N400" s="1">
        <v>0.88</v>
      </c>
      <c r="O400" t="s">
        <v>1020</v>
      </c>
      <c r="P400" t="s">
        <v>1038</v>
      </c>
      <c r="Q400">
        <v>2</v>
      </c>
      <c r="R400">
        <v>4</v>
      </c>
    </row>
    <row r="401" spans="1:18" x14ac:dyDescent="0.25">
      <c r="A401" t="s">
        <v>824</v>
      </c>
      <c r="B401" t="s">
        <v>823</v>
      </c>
      <c r="C401" t="s">
        <v>41</v>
      </c>
      <c r="D401">
        <v>54</v>
      </c>
      <c r="E401" t="s">
        <v>38</v>
      </c>
      <c r="F401" t="s">
        <v>1023</v>
      </c>
      <c r="G401" t="s">
        <v>1045</v>
      </c>
      <c r="H401">
        <v>3</v>
      </c>
      <c r="I401" t="s">
        <v>71</v>
      </c>
      <c r="J401" s="6">
        <v>30</v>
      </c>
      <c r="K401">
        <v>2.4</v>
      </c>
      <c r="L401" t="b">
        <v>0</v>
      </c>
      <c r="M401">
        <v>0.81</v>
      </c>
      <c r="N401" s="1">
        <v>0.81</v>
      </c>
      <c r="O401" t="s">
        <v>1041</v>
      </c>
      <c r="P401" t="s">
        <v>1038</v>
      </c>
      <c r="Q401">
        <v>2</v>
      </c>
      <c r="R401">
        <v>3</v>
      </c>
    </row>
    <row r="402" spans="1:18" x14ac:dyDescent="0.25">
      <c r="A402" t="s">
        <v>826</v>
      </c>
      <c r="B402" t="s">
        <v>825</v>
      </c>
      <c r="C402" t="s">
        <v>41</v>
      </c>
      <c r="D402">
        <v>22</v>
      </c>
      <c r="E402" t="s">
        <v>1056</v>
      </c>
      <c r="F402" t="s">
        <v>1057</v>
      </c>
      <c r="G402" t="s">
        <v>1037</v>
      </c>
      <c r="H402">
        <v>1</v>
      </c>
      <c r="I402">
        <v>20</v>
      </c>
      <c r="J402" s="6">
        <v>20</v>
      </c>
      <c r="K402">
        <v>1.7</v>
      </c>
      <c r="L402" t="b">
        <v>0</v>
      </c>
      <c r="M402">
        <v>0.78</v>
      </c>
      <c r="N402" s="1">
        <v>0.78</v>
      </c>
      <c r="O402" t="s">
        <v>1041</v>
      </c>
      <c r="P402" t="s">
        <v>1038</v>
      </c>
      <c r="Q402">
        <v>1</v>
      </c>
      <c r="R402">
        <v>2</v>
      </c>
    </row>
    <row r="403" spans="1:18" x14ac:dyDescent="0.25">
      <c r="A403" t="s">
        <v>828</v>
      </c>
      <c r="B403" t="s">
        <v>827</v>
      </c>
      <c r="C403" t="s">
        <v>41</v>
      </c>
      <c r="D403">
        <v>36</v>
      </c>
      <c r="E403" t="s">
        <v>1039</v>
      </c>
      <c r="F403" t="s">
        <v>1040</v>
      </c>
      <c r="G403" t="s">
        <v>1046</v>
      </c>
      <c r="H403">
        <v>2</v>
      </c>
      <c r="I403">
        <v>75</v>
      </c>
      <c r="J403" s="6">
        <v>75</v>
      </c>
      <c r="K403">
        <v>0</v>
      </c>
      <c r="L403" t="b">
        <v>0</v>
      </c>
      <c r="M403">
        <v>0.92</v>
      </c>
      <c r="N403" s="1">
        <v>0.92</v>
      </c>
      <c r="O403" t="s">
        <v>1034</v>
      </c>
      <c r="P403" t="s">
        <v>1038</v>
      </c>
      <c r="Q403">
        <v>5</v>
      </c>
      <c r="R403">
        <v>1</v>
      </c>
    </row>
    <row r="404" spans="1:18" x14ac:dyDescent="0.25">
      <c r="A404" t="s">
        <v>830</v>
      </c>
      <c r="B404" t="s">
        <v>829</v>
      </c>
      <c r="C404" t="s">
        <v>41</v>
      </c>
      <c r="D404">
        <v>50</v>
      </c>
      <c r="E404" t="s">
        <v>1026</v>
      </c>
      <c r="F404" t="s">
        <v>1026</v>
      </c>
      <c r="G404" t="s">
        <v>1050</v>
      </c>
      <c r="H404">
        <v>32</v>
      </c>
      <c r="I404" t="s">
        <v>29</v>
      </c>
      <c r="J404" s="6">
        <v>30</v>
      </c>
      <c r="K404">
        <v>2.4</v>
      </c>
      <c r="L404" t="b">
        <v>0</v>
      </c>
      <c r="M404">
        <v>0.64</v>
      </c>
      <c r="N404" s="1">
        <v>0.64</v>
      </c>
      <c r="O404" t="s">
        <v>1034</v>
      </c>
      <c r="P404" t="s">
        <v>1038</v>
      </c>
      <c r="Q404">
        <v>12</v>
      </c>
      <c r="R404">
        <v>15</v>
      </c>
    </row>
    <row r="405" spans="1:18" x14ac:dyDescent="0.25">
      <c r="A405" t="s">
        <v>832</v>
      </c>
      <c r="B405" t="s">
        <v>831</v>
      </c>
      <c r="C405" t="s">
        <v>18</v>
      </c>
      <c r="D405">
        <v>41</v>
      </c>
      <c r="E405" t="s">
        <v>1022</v>
      </c>
      <c r="F405" t="s">
        <v>1023</v>
      </c>
      <c r="G405" t="s">
        <v>1019</v>
      </c>
      <c r="H405">
        <v>14</v>
      </c>
      <c r="I405">
        <v>30</v>
      </c>
      <c r="J405" s="6">
        <v>30</v>
      </c>
      <c r="K405">
        <v>0</v>
      </c>
      <c r="L405" t="b">
        <v>1</v>
      </c>
      <c r="M405">
        <v>0.78</v>
      </c>
      <c r="N405" s="1">
        <v>0.78</v>
      </c>
      <c r="O405" t="s">
        <v>1034</v>
      </c>
      <c r="P405" t="s">
        <v>1028</v>
      </c>
      <c r="Q405">
        <v>7</v>
      </c>
      <c r="R405">
        <v>10</v>
      </c>
    </row>
    <row r="406" spans="1:18" x14ac:dyDescent="0.25">
      <c r="A406" t="s">
        <v>834</v>
      </c>
      <c r="B406" t="s">
        <v>833</v>
      </c>
      <c r="C406" t="s">
        <v>41</v>
      </c>
      <c r="D406">
        <v>41</v>
      </c>
      <c r="E406" t="s">
        <v>1063</v>
      </c>
      <c r="F406" t="s">
        <v>1064</v>
      </c>
      <c r="G406" t="s">
        <v>1029</v>
      </c>
      <c r="H406">
        <v>10</v>
      </c>
      <c r="I406">
        <v>20</v>
      </c>
      <c r="J406" s="6">
        <v>20</v>
      </c>
      <c r="K406">
        <v>1.8</v>
      </c>
      <c r="L406" t="b">
        <v>1</v>
      </c>
      <c r="M406">
        <v>85</v>
      </c>
      <c r="N406" s="1">
        <v>0.85</v>
      </c>
      <c r="O406" t="s">
        <v>1042</v>
      </c>
      <c r="P406" t="s">
        <v>1021</v>
      </c>
      <c r="Q406">
        <v>6</v>
      </c>
      <c r="R406">
        <v>4</v>
      </c>
    </row>
    <row r="407" spans="1:18" x14ac:dyDescent="0.25">
      <c r="A407" t="s">
        <v>836</v>
      </c>
      <c r="B407" t="s">
        <v>835</v>
      </c>
      <c r="C407" t="s">
        <v>18</v>
      </c>
      <c r="D407">
        <v>51</v>
      </c>
      <c r="E407" t="s">
        <v>1032</v>
      </c>
      <c r="F407" t="s">
        <v>1033</v>
      </c>
      <c r="G407" t="s">
        <v>1046</v>
      </c>
      <c r="H407">
        <v>27</v>
      </c>
      <c r="I407" t="s">
        <v>42</v>
      </c>
      <c r="J407" s="6">
        <v>50</v>
      </c>
      <c r="K407">
        <v>0</v>
      </c>
      <c r="L407" t="b">
        <v>0</v>
      </c>
      <c r="M407">
        <v>0.78</v>
      </c>
      <c r="N407" s="1">
        <v>0.78</v>
      </c>
      <c r="O407" t="s">
        <v>1034</v>
      </c>
      <c r="P407" t="s">
        <v>1028</v>
      </c>
      <c r="Q407">
        <v>14</v>
      </c>
      <c r="R407">
        <v>11</v>
      </c>
    </row>
    <row r="408" spans="1:18" x14ac:dyDescent="0.25">
      <c r="A408" t="s">
        <v>838</v>
      </c>
      <c r="B408" t="s">
        <v>837</v>
      </c>
      <c r="C408" t="s">
        <v>41</v>
      </c>
      <c r="D408">
        <v>21</v>
      </c>
      <c r="E408" t="s">
        <v>1059</v>
      </c>
      <c r="F408" t="s">
        <v>1060</v>
      </c>
      <c r="G408" t="s">
        <v>28</v>
      </c>
      <c r="H408">
        <v>2</v>
      </c>
      <c r="I408" t="s">
        <v>29</v>
      </c>
      <c r="J408" s="6">
        <v>30</v>
      </c>
      <c r="K408">
        <v>3.8</v>
      </c>
      <c r="L408" t="b">
        <v>1</v>
      </c>
      <c r="M408">
        <v>0.98</v>
      </c>
      <c r="N408" s="1">
        <v>0.98</v>
      </c>
      <c r="O408" t="s">
        <v>1041</v>
      </c>
      <c r="P408" t="s">
        <v>1038</v>
      </c>
      <c r="Q408">
        <v>2</v>
      </c>
      <c r="R408">
        <v>1</v>
      </c>
    </row>
    <row r="409" spans="1:18" x14ac:dyDescent="0.25">
      <c r="A409" t="s">
        <v>840</v>
      </c>
      <c r="B409" t="s">
        <v>839</v>
      </c>
      <c r="C409" t="s">
        <v>41</v>
      </c>
      <c r="D409">
        <v>51</v>
      </c>
      <c r="E409" t="s">
        <v>1048</v>
      </c>
      <c r="F409" t="s">
        <v>1049</v>
      </c>
      <c r="G409" t="s">
        <v>28</v>
      </c>
      <c r="H409">
        <v>33</v>
      </c>
      <c r="I409" t="s">
        <v>35</v>
      </c>
      <c r="J409" s="6">
        <v>40</v>
      </c>
      <c r="K409">
        <v>0</v>
      </c>
      <c r="L409" t="b">
        <v>1</v>
      </c>
      <c r="M409">
        <v>0.63</v>
      </c>
      <c r="N409" s="1">
        <v>0.63</v>
      </c>
      <c r="O409" t="s">
        <v>1034</v>
      </c>
      <c r="P409" t="s">
        <v>1025</v>
      </c>
      <c r="Q409">
        <v>16</v>
      </c>
      <c r="R409">
        <v>14</v>
      </c>
    </row>
    <row r="410" spans="1:18" x14ac:dyDescent="0.25">
      <c r="A410" t="s">
        <v>842</v>
      </c>
      <c r="B410" t="s">
        <v>841</v>
      </c>
      <c r="C410" t="s">
        <v>18</v>
      </c>
      <c r="D410">
        <v>37</v>
      </c>
      <c r="E410" t="s">
        <v>1035</v>
      </c>
      <c r="F410" t="s">
        <v>1036</v>
      </c>
      <c r="G410" t="s">
        <v>1027</v>
      </c>
      <c r="H410">
        <v>11</v>
      </c>
      <c r="I410" t="s">
        <v>35</v>
      </c>
      <c r="J410" s="6">
        <v>40</v>
      </c>
      <c r="K410">
        <v>3.6</v>
      </c>
      <c r="L410" t="b">
        <v>0</v>
      </c>
      <c r="M410">
        <v>0.73</v>
      </c>
      <c r="N410" s="1">
        <v>0.73</v>
      </c>
      <c r="O410" t="s">
        <v>1041</v>
      </c>
      <c r="P410" t="s">
        <v>1025</v>
      </c>
      <c r="Q410">
        <v>14</v>
      </c>
      <c r="R410">
        <v>7</v>
      </c>
    </row>
    <row r="411" spans="1:18" x14ac:dyDescent="0.25">
      <c r="A411" t="s">
        <v>844</v>
      </c>
      <c r="B411" t="s">
        <v>843</v>
      </c>
      <c r="C411" t="s">
        <v>18</v>
      </c>
      <c r="D411">
        <v>20</v>
      </c>
      <c r="E411" t="s">
        <v>1068</v>
      </c>
      <c r="F411" t="s">
        <v>1044</v>
      </c>
      <c r="G411" t="s">
        <v>1027</v>
      </c>
      <c r="H411">
        <v>2</v>
      </c>
      <c r="I411">
        <v>30</v>
      </c>
      <c r="J411" s="6">
        <v>30</v>
      </c>
      <c r="K411">
        <v>0</v>
      </c>
      <c r="L411" t="b">
        <v>0</v>
      </c>
      <c r="M411">
        <v>0.94</v>
      </c>
      <c r="N411" s="1">
        <v>0.94</v>
      </c>
      <c r="O411" t="s">
        <v>1020</v>
      </c>
      <c r="P411" t="s">
        <v>1038</v>
      </c>
      <c r="Q411">
        <v>2</v>
      </c>
      <c r="R411">
        <v>4</v>
      </c>
    </row>
    <row r="412" spans="1:18" x14ac:dyDescent="0.25">
      <c r="A412" t="s">
        <v>846</v>
      </c>
      <c r="B412" t="s">
        <v>845</v>
      </c>
      <c r="C412" t="s">
        <v>18</v>
      </c>
      <c r="D412">
        <v>50</v>
      </c>
      <c r="E412" t="s">
        <v>1022</v>
      </c>
      <c r="F412" t="s">
        <v>1023</v>
      </c>
      <c r="G412" t="s">
        <v>1029</v>
      </c>
      <c r="H412">
        <v>31</v>
      </c>
      <c r="I412" t="s">
        <v>42</v>
      </c>
      <c r="J412" s="6">
        <v>50</v>
      </c>
      <c r="K412">
        <v>4.0999999999999996</v>
      </c>
      <c r="L412" t="b">
        <v>0</v>
      </c>
      <c r="M412">
        <v>0.81</v>
      </c>
      <c r="N412" s="1">
        <v>0.81</v>
      </c>
      <c r="O412" t="s">
        <v>1042</v>
      </c>
      <c r="P412" t="s">
        <v>1038</v>
      </c>
      <c r="Q412">
        <v>11</v>
      </c>
      <c r="R412">
        <v>3</v>
      </c>
    </row>
    <row r="413" spans="1:18" x14ac:dyDescent="0.25">
      <c r="A413" t="s">
        <v>848</v>
      </c>
      <c r="B413" t="s">
        <v>847</v>
      </c>
      <c r="C413" t="s">
        <v>18</v>
      </c>
      <c r="D413">
        <v>58</v>
      </c>
      <c r="E413" t="s">
        <v>1039</v>
      </c>
      <c r="F413" t="s">
        <v>1040</v>
      </c>
      <c r="G413" t="s">
        <v>1027</v>
      </c>
      <c r="H413">
        <v>17</v>
      </c>
      <c r="I413" t="s">
        <v>42</v>
      </c>
      <c r="J413" s="6">
        <v>50</v>
      </c>
      <c r="K413">
        <v>2.6</v>
      </c>
      <c r="L413" t="b">
        <v>1</v>
      </c>
      <c r="M413">
        <v>0.61</v>
      </c>
      <c r="N413" s="1">
        <v>0.61</v>
      </c>
      <c r="O413" t="s">
        <v>1020</v>
      </c>
      <c r="P413" t="s">
        <v>1025</v>
      </c>
      <c r="Q413">
        <v>20</v>
      </c>
      <c r="R413">
        <v>1</v>
      </c>
    </row>
    <row r="414" spans="1:18" x14ac:dyDescent="0.25">
      <c r="A414" t="s">
        <v>850</v>
      </c>
      <c r="B414" t="s">
        <v>849</v>
      </c>
      <c r="C414" t="s">
        <v>18</v>
      </c>
      <c r="D414">
        <v>40</v>
      </c>
      <c r="E414" t="s">
        <v>1053</v>
      </c>
      <c r="F414" t="s">
        <v>1054</v>
      </c>
      <c r="G414" t="s">
        <v>1045</v>
      </c>
      <c r="H414">
        <v>2</v>
      </c>
      <c r="I414" t="s">
        <v>174</v>
      </c>
      <c r="J414" s="6">
        <v>100</v>
      </c>
      <c r="K414">
        <v>0</v>
      </c>
      <c r="L414" t="b">
        <v>0</v>
      </c>
      <c r="N414" s="1">
        <v>0.78</v>
      </c>
      <c r="O414" t="s">
        <v>1020</v>
      </c>
      <c r="P414" t="s">
        <v>1028</v>
      </c>
      <c r="Q414">
        <v>3</v>
      </c>
      <c r="R414">
        <v>5</v>
      </c>
    </row>
    <row r="415" spans="1:18" x14ac:dyDescent="0.25">
      <c r="A415" t="s">
        <v>852</v>
      </c>
      <c r="B415" t="s">
        <v>851</v>
      </c>
      <c r="C415" t="s">
        <v>18</v>
      </c>
      <c r="D415">
        <v>26</v>
      </c>
      <c r="E415" t="s">
        <v>1061</v>
      </c>
      <c r="F415" t="s">
        <v>1062</v>
      </c>
      <c r="G415" t="s">
        <v>1029</v>
      </c>
      <c r="H415">
        <v>2</v>
      </c>
      <c r="I415">
        <v>20</v>
      </c>
      <c r="J415" s="6">
        <v>20</v>
      </c>
      <c r="K415">
        <v>1.3</v>
      </c>
      <c r="L415" t="b">
        <v>0</v>
      </c>
      <c r="M415">
        <v>0.83</v>
      </c>
      <c r="N415" s="1">
        <v>0.83</v>
      </c>
      <c r="O415" t="s">
        <v>1041</v>
      </c>
      <c r="P415" t="s">
        <v>1028</v>
      </c>
      <c r="Q415">
        <v>1</v>
      </c>
      <c r="R415">
        <v>5</v>
      </c>
    </row>
    <row r="416" spans="1:18" x14ac:dyDescent="0.25">
      <c r="A416" t="s">
        <v>854</v>
      </c>
      <c r="B416" t="s">
        <v>853</v>
      </c>
      <c r="C416" t="s">
        <v>18</v>
      </c>
      <c r="D416">
        <v>44</v>
      </c>
      <c r="E416" t="s">
        <v>1047</v>
      </c>
      <c r="F416" t="s">
        <v>1055</v>
      </c>
      <c r="G416" t="s">
        <v>1046</v>
      </c>
      <c r="H416">
        <v>22</v>
      </c>
      <c r="I416">
        <v>30</v>
      </c>
      <c r="J416" s="6">
        <v>30</v>
      </c>
      <c r="K416">
        <v>4.0999999999999996</v>
      </c>
      <c r="L416" t="b">
        <v>1</v>
      </c>
      <c r="N416" s="1">
        <v>0.78</v>
      </c>
      <c r="O416" t="s">
        <v>1020</v>
      </c>
      <c r="P416" t="s">
        <v>1038</v>
      </c>
      <c r="Q416">
        <v>15</v>
      </c>
      <c r="R416">
        <v>5</v>
      </c>
    </row>
    <row r="417" spans="1:18" x14ac:dyDescent="0.25">
      <c r="A417" t="s">
        <v>856</v>
      </c>
      <c r="B417" t="s">
        <v>855</v>
      </c>
      <c r="C417" t="s">
        <v>41</v>
      </c>
      <c r="D417">
        <v>42</v>
      </c>
      <c r="E417" t="s">
        <v>1067</v>
      </c>
      <c r="F417" t="s">
        <v>1044</v>
      </c>
      <c r="G417" t="s">
        <v>1031</v>
      </c>
      <c r="H417">
        <v>8</v>
      </c>
      <c r="I417" t="s">
        <v>42</v>
      </c>
      <c r="J417" s="6">
        <v>50</v>
      </c>
      <c r="K417">
        <v>2.4</v>
      </c>
      <c r="L417" t="b">
        <v>0</v>
      </c>
      <c r="M417">
        <v>0.68</v>
      </c>
      <c r="N417" s="1">
        <v>0.68</v>
      </c>
      <c r="O417" t="s">
        <v>1041</v>
      </c>
      <c r="P417" t="s">
        <v>1028</v>
      </c>
      <c r="Q417">
        <v>7</v>
      </c>
      <c r="R417">
        <v>11</v>
      </c>
    </row>
    <row r="418" spans="1:18" x14ac:dyDescent="0.25">
      <c r="A418" t="s">
        <v>280</v>
      </c>
      <c r="B418" t="s">
        <v>857</v>
      </c>
      <c r="C418" t="s">
        <v>41</v>
      </c>
      <c r="D418">
        <v>38</v>
      </c>
      <c r="E418" t="s">
        <v>1067</v>
      </c>
      <c r="F418" t="s">
        <v>1044</v>
      </c>
      <c r="G418" t="s">
        <v>1037</v>
      </c>
      <c r="H418">
        <v>9</v>
      </c>
      <c r="I418" t="s">
        <v>42</v>
      </c>
      <c r="J418" s="6">
        <v>50</v>
      </c>
      <c r="K418">
        <v>0</v>
      </c>
      <c r="L418" t="b">
        <v>0</v>
      </c>
      <c r="M418">
        <v>0.74</v>
      </c>
      <c r="N418" s="1">
        <v>0.74</v>
      </c>
      <c r="O418" t="s">
        <v>1034</v>
      </c>
      <c r="P418" t="s">
        <v>1025</v>
      </c>
      <c r="Q418">
        <v>9</v>
      </c>
      <c r="R418">
        <v>9</v>
      </c>
    </row>
    <row r="419" spans="1:18" x14ac:dyDescent="0.25">
      <c r="A419" t="s">
        <v>859</v>
      </c>
      <c r="B419" t="s">
        <v>858</v>
      </c>
      <c r="C419" t="s">
        <v>41</v>
      </c>
      <c r="D419">
        <v>51</v>
      </c>
      <c r="E419" t="s">
        <v>1061</v>
      </c>
      <c r="F419" t="s">
        <v>1062</v>
      </c>
      <c r="G419" t="s">
        <v>1029</v>
      </c>
      <c r="H419">
        <v>32</v>
      </c>
      <c r="I419">
        <v>100</v>
      </c>
      <c r="J419" s="6">
        <v>100</v>
      </c>
      <c r="K419">
        <v>4.4000000000000004</v>
      </c>
      <c r="L419" t="b">
        <v>0</v>
      </c>
      <c r="M419">
        <v>91</v>
      </c>
      <c r="N419" s="1">
        <v>0.91</v>
      </c>
      <c r="O419" t="s">
        <v>1034</v>
      </c>
      <c r="P419" t="s">
        <v>1028</v>
      </c>
      <c r="Q419">
        <v>14</v>
      </c>
      <c r="R419">
        <v>15</v>
      </c>
    </row>
    <row r="420" spans="1:18" x14ac:dyDescent="0.25">
      <c r="A420" t="s">
        <v>861</v>
      </c>
      <c r="B420" t="s">
        <v>860</v>
      </c>
      <c r="C420" t="s">
        <v>18</v>
      </c>
      <c r="D420">
        <v>36</v>
      </c>
      <c r="E420" t="s">
        <v>1059</v>
      </c>
      <c r="F420" t="s">
        <v>1060</v>
      </c>
      <c r="G420" t="s">
        <v>28</v>
      </c>
      <c r="H420">
        <v>8</v>
      </c>
      <c r="I420" t="s">
        <v>19</v>
      </c>
      <c r="J420" s="6">
        <v>100</v>
      </c>
      <c r="K420">
        <v>2.2000000000000002</v>
      </c>
      <c r="L420" t="b">
        <v>1</v>
      </c>
      <c r="M420">
        <v>0.97</v>
      </c>
      <c r="N420" s="1">
        <v>0.97</v>
      </c>
      <c r="O420" t="s">
        <v>1041</v>
      </c>
      <c r="P420" t="s">
        <v>1038</v>
      </c>
      <c r="Q420">
        <v>10</v>
      </c>
      <c r="R420">
        <v>5</v>
      </c>
    </row>
    <row r="421" spans="1:18" x14ac:dyDescent="0.25">
      <c r="A421" t="s">
        <v>1073</v>
      </c>
      <c r="B421" t="s">
        <v>862</v>
      </c>
      <c r="C421" t="s">
        <v>18</v>
      </c>
      <c r="D421">
        <v>37</v>
      </c>
      <c r="E421" t="s">
        <v>1022</v>
      </c>
      <c r="F421" t="s">
        <v>1023</v>
      </c>
      <c r="G421" t="s">
        <v>1024</v>
      </c>
      <c r="H421">
        <v>10</v>
      </c>
      <c r="I421">
        <v>30</v>
      </c>
      <c r="J421" s="6">
        <v>30</v>
      </c>
      <c r="K421">
        <v>0</v>
      </c>
      <c r="L421" t="b">
        <v>0</v>
      </c>
      <c r="M421">
        <v>0.96</v>
      </c>
      <c r="N421" s="1">
        <v>0.96</v>
      </c>
      <c r="O421" t="s">
        <v>1034</v>
      </c>
      <c r="P421" t="s">
        <v>1025</v>
      </c>
      <c r="Q421">
        <v>15</v>
      </c>
      <c r="R421">
        <v>12</v>
      </c>
    </row>
    <row r="422" spans="1:18" x14ac:dyDescent="0.25">
      <c r="A422" t="s">
        <v>864</v>
      </c>
      <c r="B422" t="s">
        <v>863</v>
      </c>
      <c r="C422" t="s">
        <v>41</v>
      </c>
      <c r="D422">
        <v>31</v>
      </c>
      <c r="E422" t="s">
        <v>1063</v>
      </c>
      <c r="F422" t="s">
        <v>1064</v>
      </c>
      <c r="G422" t="s">
        <v>1050</v>
      </c>
      <c r="H422">
        <v>0</v>
      </c>
      <c r="I422">
        <v>50</v>
      </c>
      <c r="J422" s="6">
        <v>50</v>
      </c>
      <c r="K422">
        <v>1.1000000000000001</v>
      </c>
      <c r="L422" t="b">
        <v>1</v>
      </c>
      <c r="M422">
        <v>0.73</v>
      </c>
      <c r="N422" s="1">
        <v>0.73</v>
      </c>
      <c r="O422" t="s">
        <v>1042</v>
      </c>
      <c r="P422" t="s">
        <v>1028</v>
      </c>
      <c r="Q422">
        <v>2</v>
      </c>
      <c r="R422">
        <v>1</v>
      </c>
    </row>
    <row r="423" spans="1:18" x14ac:dyDescent="0.25">
      <c r="A423" t="s">
        <v>866</v>
      </c>
      <c r="B423" t="s">
        <v>865</v>
      </c>
      <c r="C423" t="s">
        <v>18</v>
      </c>
      <c r="D423">
        <v>47</v>
      </c>
      <c r="E423" t="s">
        <v>1051</v>
      </c>
      <c r="F423" t="s">
        <v>1052</v>
      </c>
      <c r="G423" t="s">
        <v>1046</v>
      </c>
      <c r="H423">
        <v>22</v>
      </c>
      <c r="J423" s="6">
        <v>70</v>
      </c>
      <c r="K423">
        <v>1.4</v>
      </c>
      <c r="L423" t="b">
        <v>1</v>
      </c>
      <c r="M423">
        <v>0.72</v>
      </c>
      <c r="N423" s="1">
        <v>0.72</v>
      </c>
      <c r="O423" t="s">
        <v>1020</v>
      </c>
      <c r="P423" t="s">
        <v>1021</v>
      </c>
      <c r="Q423">
        <v>19</v>
      </c>
      <c r="R423">
        <v>2</v>
      </c>
    </row>
    <row r="424" spans="1:18" x14ac:dyDescent="0.25">
      <c r="A424" t="s">
        <v>868</v>
      </c>
      <c r="B424" t="s">
        <v>867</v>
      </c>
      <c r="C424" t="s">
        <v>18</v>
      </c>
      <c r="D424">
        <v>60</v>
      </c>
      <c r="E424" t="s">
        <v>1067</v>
      </c>
      <c r="F424" t="s">
        <v>1044</v>
      </c>
      <c r="G424" t="s">
        <v>1045</v>
      </c>
      <c r="H424">
        <v>34</v>
      </c>
      <c r="I424" t="s">
        <v>174</v>
      </c>
      <c r="J424" s="6">
        <v>100</v>
      </c>
      <c r="K424">
        <v>0</v>
      </c>
      <c r="L424" t="b">
        <v>1</v>
      </c>
      <c r="M424">
        <v>0.74</v>
      </c>
      <c r="N424" s="1">
        <v>0.74</v>
      </c>
      <c r="O424" t="s">
        <v>1042</v>
      </c>
      <c r="P424" t="s">
        <v>1025</v>
      </c>
      <c r="Q424">
        <v>19</v>
      </c>
      <c r="R424">
        <v>14</v>
      </c>
    </row>
    <row r="425" spans="1:18" x14ac:dyDescent="0.25">
      <c r="A425" t="s">
        <v>870</v>
      </c>
      <c r="B425" t="s">
        <v>869</v>
      </c>
      <c r="C425" t="s">
        <v>18</v>
      </c>
      <c r="D425">
        <v>48</v>
      </c>
      <c r="E425" t="s">
        <v>1043</v>
      </c>
      <c r="F425" t="s">
        <v>1044</v>
      </c>
      <c r="G425" t="s">
        <v>1024</v>
      </c>
      <c r="H425">
        <v>5</v>
      </c>
      <c r="I425">
        <v>30</v>
      </c>
      <c r="J425" s="6">
        <v>30</v>
      </c>
      <c r="K425">
        <v>1.5</v>
      </c>
      <c r="L425" t="b">
        <v>0</v>
      </c>
      <c r="N425" s="1">
        <v>0.78</v>
      </c>
      <c r="O425" t="s">
        <v>1020</v>
      </c>
      <c r="P425" t="s">
        <v>1025</v>
      </c>
      <c r="Q425">
        <v>4</v>
      </c>
      <c r="R425">
        <v>2</v>
      </c>
    </row>
    <row r="426" spans="1:18" x14ac:dyDescent="0.25">
      <c r="A426" t="s">
        <v>872</v>
      </c>
      <c r="B426" t="s">
        <v>871</v>
      </c>
      <c r="C426" t="s">
        <v>18</v>
      </c>
      <c r="D426">
        <v>24</v>
      </c>
      <c r="E426" t="s">
        <v>1051</v>
      </c>
      <c r="F426" t="s">
        <v>1052</v>
      </c>
      <c r="G426" t="s">
        <v>28</v>
      </c>
      <c r="H426">
        <v>3</v>
      </c>
      <c r="I426">
        <v>20</v>
      </c>
      <c r="J426" s="6">
        <v>20</v>
      </c>
      <c r="K426">
        <v>0</v>
      </c>
      <c r="L426" t="b">
        <v>1</v>
      </c>
      <c r="N426" s="1">
        <v>0.78</v>
      </c>
      <c r="O426" t="s">
        <v>1034</v>
      </c>
      <c r="P426" t="s">
        <v>1021</v>
      </c>
      <c r="Q426">
        <v>2</v>
      </c>
      <c r="R426">
        <v>1</v>
      </c>
    </row>
    <row r="427" spans="1:18" x14ac:dyDescent="0.25">
      <c r="A427" t="s">
        <v>874</v>
      </c>
      <c r="B427" t="s">
        <v>873</v>
      </c>
      <c r="C427" t="s">
        <v>18</v>
      </c>
      <c r="D427">
        <v>35</v>
      </c>
      <c r="E427" t="s">
        <v>1032</v>
      </c>
      <c r="F427" t="s">
        <v>1033</v>
      </c>
      <c r="G427" t="s">
        <v>1031</v>
      </c>
      <c r="H427">
        <v>10</v>
      </c>
      <c r="I427">
        <v>75</v>
      </c>
      <c r="J427" s="6">
        <v>75</v>
      </c>
      <c r="K427">
        <v>0</v>
      </c>
      <c r="L427" t="b">
        <v>0</v>
      </c>
      <c r="M427">
        <v>0.74</v>
      </c>
      <c r="N427" s="1">
        <v>0.74</v>
      </c>
      <c r="O427" t="s">
        <v>1042</v>
      </c>
      <c r="P427" t="s">
        <v>1021</v>
      </c>
      <c r="Q427">
        <v>8</v>
      </c>
      <c r="R427">
        <v>9</v>
      </c>
    </row>
    <row r="428" spans="1:18" x14ac:dyDescent="0.25">
      <c r="A428" t="s">
        <v>876</v>
      </c>
      <c r="B428" t="s">
        <v>875</v>
      </c>
      <c r="C428" t="s">
        <v>41</v>
      </c>
      <c r="D428">
        <v>35</v>
      </c>
      <c r="E428" t="s">
        <v>38</v>
      </c>
      <c r="F428" t="s">
        <v>1023</v>
      </c>
      <c r="G428" t="s">
        <v>1050</v>
      </c>
      <c r="H428">
        <v>10</v>
      </c>
      <c r="I428">
        <v>100</v>
      </c>
      <c r="J428" s="6">
        <v>100</v>
      </c>
      <c r="K428">
        <v>3.5</v>
      </c>
      <c r="L428" t="b">
        <v>1</v>
      </c>
      <c r="M428">
        <v>0.71</v>
      </c>
      <c r="N428" s="1">
        <v>0.71</v>
      </c>
      <c r="O428" t="s">
        <v>1034</v>
      </c>
      <c r="P428" t="s">
        <v>1025</v>
      </c>
      <c r="Q428">
        <v>2</v>
      </c>
      <c r="R428">
        <v>1</v>
      </c>
    </row>
    <row r="429" spans="1:18" x14ac:dyDescent="0.25">
      <c r="A429" t="s">
        <v>878</v>
      </c>
      <c r="B429" t="s">
        <v>877</v>
      </c>
      <c r="C429" t="s">
        <v>18</v>
      </c>
      <c r="D429">
        <v>29</v>
      </c>
      <c r="E429" t="s">
        <v>1032</v>
      </c>
      <c r="F429" t="s">
        <v>1033</v>
      </c>
      <c r="G429" t="s">
        <v>1045</v>
      </c>
      <c r="H429">
        <v>6</v>
      </c>
      <c r="J429" s="6">
        <v>70</v>
      </c>
      <c r="K429">
        <v>4.8</v>
      </c>
      <c r="L429" t="b">
        <v>0</v>
      </c>
      <c r="M429">
        <v>0.83</v>
      </c>
      <c r="N429" s="1">
        <v>0.83</v>
      </c>
      <c r="O429" t="s">
        <v>1020</v>
      </c>
      <c r="P429" t="s">
        <v>1021</v>
      </c>
      <c r="Q429">
        <v>14</v>
      </c>
      <c r="R429">
        <v>2</v>
      </c>
    </row>
    <row r="430" spans="1:18" x14ac:dyDescent="0.25">
      <c r="A430" t="s">
        <v>880</v>
      </c>
      <c r="B430" t="s">
        <v>879</v>
      </c>
      <c r="C430" t="s">
        <v>18</v>
      </c>
      <c r="D430">
        <v>36</v>
      </c>
      <c r="E430" t="s">
        <v>1017</v>
      </c>
      <c r="F430" t="s">
        <v>1018</v>
      </c>
      <c r="G430" t="s">
        <v>1031</v>
      </c>
      <c r="H430">
        <v>1</v>
      </c>
      <c r="I430" t="s">
        <v>119</v>
      </c>
      <c r="J430" s="6">
        <v>75</v>
      </c>
      <c r="K430">
        <v>2.4</v>
      </c>
      <c r="L430" t="b">
        <v>0</v>
      </c>
      <c r="M430">
        <v>0.63</v>
      </c>
      <c r="N430" s="1">
        <v>0.63</v>
      </c>
      <c r="O430" t="s">
        <v>1041</v>
      </c>
      <c r="P430" t="s">
        <v>1038</v>
      </c>
      <c r="Q430">
        <v>4</v>
      </c>
      <c r="R430">
        <v>2</v>
      </c>
    </row>
    <row r="431" spans="1:18" x14ac:dyDescent="0.25">
      <c r="A431" t="s">
        <v>882</v>
      </c>
      <c r="B431" t="s">
        <v>881</v>
      </c>
      <c r="C431" t="s">
        <v>18</v>
      </c>
      <c r="D431">
        <v>44</v>
      </c>
      <c r="E431" t="s">
        <v>1058</v>
      </c>
      <c r="F431" t="s">
        <v>1023</v>
      </c>
      <c r="G431" t="s">
        <v>28</v>
      </c>
      <c r="H431">
        <v>0</v>
      </c>
      <c r="J431" s="6">
        <v>70</v>
      </c>
      <c r="K431">
        <v>4.8</v>
      </c>
      <c r="L431" t="b">
        <v>0</v>
      </c>
      <c r="M431">
        <v>0.84</v>
      </c>
      <c r="N431" s="1">
        <v>0.84</v>
      </c>
      <c r="O431" t="s">
        <v>1041</v>
      </c>
      <c r="P431" t="s">
        <v>1038</v>
      </c>
      <c r="Q431">
        <v>4</v>
      </c>
      <c r="R431">
        <v>1</v>
      </c>
    </row>
    <row r="432" spans="1:18" x14ac:dyDescent="0.25">
      <c r="A432" t="s">
        <v>884</v>
      </c>
      <c r="B432" t="s">
        <v>883</v>
      </c>
      <c r="C432" t="s">
        <v>41</v>
      </c>
      <c r="D432">
        <v>44</v>
      </c>
      <c r="E432" t="s">
        <v>1063</v>
      </c>
      <c r="F432" t="s">
        <v>1064</v>
      </c>
      <c r="G432" t="s">
        <v>1029</v>
      </c>
      <c r="H432">
        <v>10</v>
      </c>
      <c r="J432" s="6">
        <v>70</v>
      </c>
      <c r="K432">
        <v>1.4</v>
      </c>
      <c r="L432" t="b">
        <v>0</v>
      </c>
      <c r="M432">
        <v>0.93</v>
      </c>
      <c r="N432" s="1">
        <v>0.93</v>
      </c>
      <c r="O432" t="s">
        <v>1042</v>
      </c>
      <c r="P432" t="s">
        <v>1038</v>
      </c>
      <c r="Q432">
        <v>3</v>
      </c>
      <c r="R432">
        <v>1</v>
      </c>
    </row>
    <row r="433" spans="1:18" x14ac:dyDescent="0.25">
      <c r="A433" t="s">
        <v>886</v>
      </c>
      <c r="B433" t="s">
        <v>885</v>
      </c>
      <c r="C433" t="s">
        <v>41</v>
      </c>
      <c r="D433">
        <v>40</v>
      </c>
      <c r="E433" t="s">
        <v>1051</v>
      </c>
      <c r="F433" t="s">
        <v>1052</v>
      </c>
      <c r="G433" t="s">
        <v>28</v>
      </c>
      <c r="H433">
        <v>13</v>
      </c>
      <c r="I433" t="s">
        <v>19</v>
      </c>
      <c r="J433" s="6">
        <v>100</v>
      </c>
      <c r="K433">
        <v>1.1000000000000001</v>
      </c>
      <c r="L433" t="b">
        <v>1</v>
      </c>
      <c r="N433" s="1">
        <v>0.78</v>
      </c>
      <c r="O433" t="s">
        <v>1034</v>
      </c>
      <c r="P433" t="s">
        <v>1025</v>
      </c>
      <c r="Q433">
        <v>13</v>
      </c>
      <c r="R433">
        <v>9</v>
      </c>
    </row>
    <row r="434" spans="1:18" x14ac:dyDescent="0.25">
      <c r="A434" t="s">
        <v>888</v>
      </c>
      <c r="B434" t="s">
        <v>887</v>
      </c>
      <c r="C434" t="s">
        <v>18</v>
      </c>
      <c r="D434">
        <v>53</v>
      </c>
      <c r="E434" t="s">
        <v>1032</v>
      </c>
      <c r="F434" t="s">
        <v>1033</v>
      </c>
      <c r="G434" t="s">
        <v>1031</v>
      </c>
      <c r="H434">
        <v>13</v>
      </c>
      <c r="I434" t="s">
        <v>42</v>
      </c>
      <c r="J434" s="6">
        <v>50</v>
      </c>
      <c r="K434">
        <v>3.3</v>
      </c>
      <c r="L434" t="b">
        <v>1</v>
      </c>
      <c r="M434">
        <v>0.93</v>
      </c>
      <c r="N434" s="1">
        <v>0.93</v>
      </c>
      <c r="O434" t="s">
        <v>1034</v>
      </c>
      <c r="P434" t="s">
        <v>1021</v>
      </c>
      <c r="Q434">
        <v>10</v>
      </c>
      <c r="R434">
        <v>10</v>
      </c>
    </row>
    <row r="435" spans="1:18" x14ac:dyDescent="0.25">
      <c r="A435" t="s">
        <v>890</v>
      </c>
      <c r="B435" t="s">
        <v>889</v>
      </c>
      <c r="C435" t="s">
        <v>18</v>
      </c>
      <c r="D435">
        <v>35</v>
      </c>
      <c r="E435" t="s">
        <v>1026</v>
      </c>
      <c r="F435" t="s">
        <v>1026</v>
      </c>
      <c r="G435" t="s">
        <v>1019</v>
      </c>
      <c r="H435">
        <v>0</v>
      </c>
      <c r="I435" t="s">
        <v>71</v>
      </c>
      <c r="J435" s="6">
        <v>30</v>
      </c>
      <c r="K435">
        <v>4.5999999999999996</v>
      </c>
      <c r="L435" t="b">
        <v>0</v>
      </c>
      <c r="M435">
        <v>0.97</v>
      </c>
      <c r="N435" s="1">
        <v>0.97</v>
      </c>
      <c r="O435" t="s">
        <v>1042</v>
      </c>
      <c r="P435" t="s">
        <v>1021</v>
      </c>
      <c r="Q435">
        <v>1</v>
      </c>
      <c r="R435">
        <v>1</v>
      </c>
    </row>
    <row r="436" spans="1:18" x14ac:dyDescent="0.25">
      <c r="A436" t="s">
        <v>892</v>
      </c>
      <c r="B436" t="s">
        <v>891</v>
      </c>
      <c r="C436" t="s">
        <v>18</v>
      </c>
      <c r="D436">
        <v>27</v>
      </c>
      <c r="E436" t="s">
        <v>1043</v>
      </c>
      <c r="F436" t="s">
        <v>1044</v>
      </c>
      <c r="G436" t="s">
        <v>1031</v>
      </c>
      <c r="H436">
        <v>7</v>
      </c>
      <c r="I436" t="s">
        <v>32</v>
      </c>
      <c r="J436" s="6">
        <v>75</v>
      </c>
      <c r="K436">
        <v>2.8</v>
      </c>
      <c r="L436" t="b">
        <v>1</v>
      </c>
      <c r="M436">
        <v>0.92</v>
      </c>
      <c r="N436" s="1">
        <v>0.92</v>
      </c>
      <c r="O436" t="s">
        <v>1041</v>
      </c>
      <c r="P436" t="s">
        <v>1028</v>
      </c>
      <c r="Q436">
        <v>7</v>
      </c>
      <c r="R436">
        <v>4</v>
      </c>
    </row>
    <row r="437" spans="1:18" x14ac:dyDescent="0.25">
      <c r="A437" t="s">
        <v>894</v>
      </c>
      <c r="B437" t="s">
        <v>893</v>
      </c>
      <c r="C437" t="s">
        <v>41</v>
      </c>
      <c r="D437">
        <v>34</v>
      </c>
      <c r="E437" t="s">
        <v>1022</v>
      </c>
      <c r="F437" t="s">
        <v>1023</v>
      </c>
      <c r="G437" t="s">
        <v>1050</v>
      </c>
      <c r="H437">
        <v>6</v>
      </c>
      <c r="I437">
        <v>50</v>
      </c>
      <c r="J437" s="6">
        <v>50</v>
      </c>
      <c r="K437">
        <v>5</v>
      </c>
      <c r="L437" t="b">
        <v>1</v>
      </c>
      <c r="M437">
        <v>0.92</v>
      </c>
      <c r="N437" s="1">
        <v>0.92</v>
      </c>
      <c r="O437" t="s">
        <v>1020</v>
      </c>
      <c r="P437" t="s">
        <v>1028</v>
      </c>
      <c r="Q437">
        <v>8</v>
      </c>
      <c r="R437">
        <v>3</v>
      </c>
    </row>
    <row r="438" spans="1:18" x14ac:dyDescent="0.25">
      <c r="A438" t="s">
        <v>896</v>
      </c>
      <c r="B438" t="s">
        <v>895</v>
      </c>
      <c r="C438" t="s">
        <v>41</v>
      </c>
      <c r="D438">
        <v>24</v>
      </c>
      <c r="E438" t="s">
        <v>1051</v>
      </c>
      <c r="F438" t="s">
        <v>1052</v>
      </c>
      <c r="G438" t="s">
        <v>1046</v>
      </c>
      <c r="H438">
        <v>2</v>
      </c>
      <c r="I438">
        <v>75</v>
      </c>
      <c r="J438" s="6">
        <v>75</v>
      </c>
      <c r="K438">
        <v>4.7</v>
      </c>
      <c r="L438" t="b">
        <v>0</v>
      </c>
      <c r="M438">
        <v>0.68</v>
      </c>
      <c r="N438" s="1">
        <v>0.68</v>
      </c>
      <c r="O438" t="s">
        <v>1042</v>
      </c>
      <c r="P438" t="s">
        <v>1021</v>
      </c>
      <c r="Q438">
        <v>1</v>
      </c>
      <c r="R438">
        <v>2</v>
      </c>
    </row>
    <row r="439" spans="1:18" x14ac:dyDescent="0.25">
      <c r="A439" t="s">
        <v>898</v>
      </c>
      <c r="B439" t="s">
        <v>897</v>
      </c>
      <c r="C439" t="s">
        <v>41</v>
      </c>
      <c r="D439">
        <v>57</v>
      </c>
      <c r="E439" t="s">
        <v>38</v>
      </c>
      <c r="F439" t="s">
        <v>1023</v>
      </c>
      <c r="G439" t="s">
        <v>1045</v>
      </c>
      <c r="H439">
        <v>13</v>
      </c>
      <c r="I439">
        <v>100</v>
      </c>
      <c r="J439" s="6">
        <v>100</v>
      </c>
      <c r="K439">
        <v>3.5</v>
      </c>
      <c r="L439" t="b">
        <v>0</v>
      </c>
      <c r="M439">
        <v>0.95</v>
      </c>
      <c r="N439" s="1">
        <v>0.95</v>
      </c>
      <c r="O439" t="s">
        <v>1020</v>
      </c>
      <c r="P439" t="s">
        <v>1021</v>
      </c>
      <c r="Q439">
        <v>13</v>
      </c>
      <c r="R439">
        <v>3</v>
      </c>
    </row>
    <row r="440" spans="1:18" x14ac:dyDescent="0.25">
      <c r="A440" t="s">
        <v>900</v>
      </c>
      <c r="B440" t="s">
        <v>899</v>
      </c>
      <c r="C440" t="s">
        <v>41</v>
      </c>
      <c r="D440">
        <v>28</v>
      </c>
      <c r="E440" t="s">
        <v>1047</v>
      </c>
      <c r="F440" t="s">
        <v>1055</v>
      </c>
      <c r="G440" t="s">
        <v>1045</v>
      </c>
      <c r="H440">
        <v>7</v>
      </c>
      <c r="I440" t="s">
        <v>174</v>
      </c>
      <c r="J440" s="6">
        <v>100</v>
      </c>
      <c r="K440">
        <v>4.3</v>
      </c>
      <c r="L440" t="b">
        <v>0</v>
      </c>
      <c r="M440">
        <v>0.76</v>
      </c>
      <c r="N440" s="1">
        <v>0.76</v>
      </c>
      <c r="O440" t="s">
        <v>1041</v>
      </c>
      <c r="P440" t="s">
        <v>1021</v>
      </c>
      <c r="Q440">
        <v>7</v>
      </c>
      <c r="R440">
        <v>12</v>
      </c>
    </row>
    <row r="441" spans="1:18" x14ac:dyDescent="0.25">
      <c r="A441" t="s">
        <v>902</v>
      </c>
      <c r="B441" t="s">
        <v>901</v>
      </c>
      <c r="C441" t="s">
        <v>18</v>
      </c>
      <c r="D441">
        <v>26</v>
      </c>
      <c r="E441" t="s">
        <v>1017</v>
      </c>
      <c r="F441" t="s">
        <v>1018</v>
      </c>
      <c r="G441" t="s">
        <v>1050</v>
      </c>
      <c r="H441">
        <v>7</v>
      </c>
      <c r="I441" t="s">
        <v>19</v>
      </c>
      <c r="J441" s="6">
        <v>100</v>
      </c>
      <c r="K441">
        <v>3.3</v>
      </c>
      <c r="L441" t="b">
        <v>1</v>
      </c>
      <c r="M441">
        <v>0.66</v>
      </c>
      <c r="N441" s="1">
        <v>0.66</v>
      </c>
      <c r="O441" t="s">
        <v>1034</v>
      </c>
      <c r="P441" t="s">
        <v>1025</v>
      </c>
      <c r="Q441">
        <v>14</v>
      </c>
      <c r="R441">
        <v>9</v>
      </c>
    </row>
    <row r="442" spans="1:18" x14ac:dyDescent="0.25">
      <c r="A442" t="s">
        <v>904</v>
      </c>
      <c r="B442" t="s">
        <v>903</v>
      </c>
      <c r="C442" t="s">
        <v>41</v>
      </c>
      <c r="D442">
        <v>34</v>
      </c>
      <c r="E442" t="s">
        <v>1043</v>
      </c>
      <c r="F442" t="s">
        <v>1044</v>
      </c>
      <c r="G442" t="s">
        <v>1024</v>
      </c>
      <c r="H442">
        <v>15</v>
      </c>
      <c r="I442">
        <v>75</v>
      </c>
      <c r="J442" s="6">
        <v>75</v>
      </c>
      <c r="K442">
        <v>2.4</v>
      </c>
      <c r="L442" t="b">
        <v>0</v>
      </c>
      <c r="M442">
        <v>0.73</v>
      </c>
      <c r="N442" s="1">
        <v>0.73</v>
      </c>
      <c r="O442" t="s">
        <v>1041</v>
      </c>
      <c r="P442" t="s">
        <v>1021</v>
      </c>
      <c r="Q442">
        <v>14</v>
      </c>
      <c r="R442">
        <v>8</v>
      </c>
    </row>
    <row r="443" spans="1:18" x14ac:dyDescent="0.25">
      <c r="A443" t="s">
        <v>906</v>
      </c>
      <c r="B443" t="s">
        <v>905</v>
      </c>
      <c r="C443" t="s">
        <v>41</v>
      </c>
      <c r="D443">
        <v>43</v>
      </c>
      <c r="E443" t="s">
        <v>1048</v>
      </c>
      <c r="F443" t="s">
        <v>1049</v>
      </c>
      <c r="G443" t="s">
        <v>28</v>
      </c>
      <c r="H443">
        <v>10</v>
      </c>
      <c r="I443" t="s">
        <v>259</v>
      </c>
      <c r="J443" s="6">
        <v>20</v>
      </c>
      <c r="K443">
        <v>2.8</v>
      </c>
      <c r="L443" t="b">
        <v>0</v>
      </c>
      <c r="M443">
        <v>0.99</v>
      </c>
      <c r="N443" s="1">
        <v>0.99</v>
      </c>
      <c r="O443" t="s">
        <v>1042</v>
      </c>
      <c r="P443" t="s">
        <v>1028</v>
      </c>
      <c r="Q443">
        <v>4</v>
      </c>
      <c r="R443">
        <v>1</v>
      </c>
    </row>
    <row r="444" spans="1:18" x14ac:dyDescent="0.25">
      <c r="A444" t="s">
        <v>908</v>
      </c>
      <c r="B444" t="s">
        <v>907</v>
      </c>
      <c r="C444" t="s">
        <v>41</v>
      </c>
      <c r="D444">
        <v>31</v>
      </c>
      <c r="E444" t="s">
        <v>1065</v>
      </c>
      <c r="F444" t="s">
        <v>1066</v>
      </c>
      <c r="G444" t="s">
        <v>1027</v>
      </c>
      <c r="H444">
        <v>5</v>
      </c>
      <c r="J444" s="6">
        <v>70</v>
      </c>
      <c r="K444">
        <v>2.7</v>
      </c>
      <c r="L444" t="b">
        <v>1</v>
      </c>
      <c r="M444">
        <v>94</v>
      </c>
      <c r="N444" s="1">
        <v>0.94</v>
      </c>
      <c r="O444" t="s">
        <v>1034</v>
      </c>
      <c r="P444" t="s">
        <v>1025</v>
      </c>
      <c r="Q444">
        <v>4</v>
      </c>
      <c r="R444">
        <v>1</v>
      </c>
    </row>
    <row r="445" spans="1:18" x14ac:dyDescent="0.25">
      <c r="A445" t="s">
        <v>910</v>
      </c>
      <c r="B445" t="s">
        <v>909</v>
      </c>
      <c r="C445" t="s">
        <v>18</v>
      </c>
      <c r="D445">
        <v>34</v>
      </c>
      <c r="E445" t="s">
        <v>1065</v>
      </c>
      <c r="F445" t="s">
        <v>1066</v>
      </c>
      <c r="G445" t="s">
        <v>1019</v>
      </c>
      <c r="H445">
        <v>10</v>
      </c>
      <c r="I445" t="s">
        <v>42</v>
      </c>
      <c r="J445" s="6">
        <v>50</v>
      </c>
      <c r="K445">
        <v>0</v>
      </c>
      <c r="L445" t="b">
        <v>0</v>
      </c>
      <c r="M445">
        <v>84</v>
      </c>
      <c r="N445" s="1">
        <v>0.84</v>
      </c>
      <c r="O445" t="s">
        <v>1042</v>
      </c>
      <c r="P445" t="s">
        <v>1021</v>
      </c>
      <c r="Q445">
        <v>5</v>
      </c>
      <c r="R445">
        <v>1</v>
      </c>
    </row>
    <row r="446" spans="1:18" x14ac:dyDescent="0.25">
      <c r="A446" t="s">
        <v>912</v>
      </c>
      <c r="B446" t="s">
        <v>911</v>
      </c>
      <c r="C446" t="s">
        <v>18</v>
      </c>
      <c r="D446">
        <v>32</v>
      </c>
      <c r="E446" t="s">
        <v>1056</v>
      </c>
      <c r="F446" t="s">
        <v>1057</v>
      </c>
      <c r="G446" t="s">
        <v>1046</v>
      </c>
      <c r="H446">
        <v>10</v>
      </c>
      <c r="I446" t="s">
        <v>80</v>
      </c>
      <c r="J446" s="6">
        <v>20</v>
      </c>
      <c r="K446">
        <v>2.4</v>
      </c>
      <c r="L446" t="b">
        <v>1</v>
      </c>
      <c r="M446">
        <v>0.92</v>
      </c>
      <c r="N446" s="1">
        <v>0.92</v>
      </c>
      <c r="O446" t="s">
        <v>1042</v>
      </c>
      <c r="P446" t="s">
        <v>1028</v>
      </c>
      <c r="Q446">
        <v>12</v>
      </c>
      <c r="R446">
        <v>4</v>
      </c>
    </row>
    <row r="447" spans="1:18" x14ac:dyDescent="0.25">
      <c r="A447" t="s">
        <v>914</v>
      </c>
      <c r="B447" t="s">
        <v>913</v>
      </c>
      <c r="C447" t="s">
        <v>41</v>
      </c>
      <c r="D447">
        <v>24</v>
      </c>
      <c r="E447" t="s">
        <v>1061</v>
      </c>
      <c r="F447" t="s">
        <v>1062</v>
      </c>
      <c r="G447" t="s">
        <v>1050</v>
      </c>
      <c r="H447">
        <v>6</v>
      </c>
      <c r="I447" t="s">
        <v>119</v>
      </c>
      <c r="J447" s="6">
        <v>75</v>
      </c>
      <c r="K447">
        <v>4.3</v>
      </c>
      <c r="L447" t="b">
        <v>1</v>
      </c>
      <c r="N447" s="1">
        <v>0.78</v>
      </c>
      <c r="O447" t="s">
        <v>1041</v>
      </c>
      <c r="P447" t="s">
        <v>1025</v>
      </c>
      <c r="Q447">
        <v>14</v>
      </c>
      <c r="R447">
        <v>4</v>
      </c>
    </row>
    <row r="448" spans="1:18" x14ac:dyDescent="0.25">
      <c r="A448" t="s">
        <v>916</v>
      </c>
      <c r="B448" t="s">
        <v>915</v>
      </c>
      <c r="C448" t="s">
        <v>41</v>
      </c>
      <c r="D448">
        <v>35</v>
      </c>
      <c r="E448" t="s">
        <v>45</v>
      </c>
      <c r="F448" t="s">
        <v>1023</v>
      </c>
      <c r="G448" t="s">
        <v>28</v>
      </c>
      <c r="H448">
        <v>8</v>
      </c>
      <c r="I448" t="s">
        <v>62</v>
      </c>
      <c r="J448" s="6">
        <v>50</v>
      </c>
      <c r="K448">
        <v>2.4</v>
      </c>
      <c r="L448" t="b">
        <v>0</v>
      </c>
      <c r="M448">
        <v>90</v>
      </c>
      <c r="N448" s="1">
        <v>0.9</v>
      </c>
      <c r="O448" t="s">
        <v>1042</v>
      </c>
      <c r="P448" t="s">
        <v>1021</v>
      </c>
      <c r="Q448">
        <v>6</v>
      </c>
      <c r="R448">
        <v>5</v>
      </c>
    </row>
    <row r="449" spans="1:18" x14ac:dyDescent="0.25">
      <c r="A449" t="s">
        <v>918</v>
      </c>
      <c r="B449" t="s">
        <v>917</v>
      </c>
      <c r="C449" t="s">
        <v>18</v>
      </c>
      <c r="D449">
        <v>22</v>
      </c>
      <c r="E449" t="s">
        <v>1022</v>
      </c>
      <c r="F449" t="s">
        <v>1023</v>
      </c>
      <c r="G449" t="s">
        <v>1024</v>
      </c>
      <c r="H449">
        <v>4</v>
      </c>
      <c r="I449">
        <v>20</v>
      </c>
      <c r="J449" s="6">
        <v>20</v>
      </c>
      <c r="K449">
        <v>2.4</v>
      </c>
      <c r="L449" t="b">
        <v>0</v>
      </c>
      <c r="M449">
        <v>0.73</v>
      </c>
      <c r="N449" s="1">
        <v>0.73</v>
      </c>
      <c r="O449" t="s">
        <v>1041</v>
      </c>
      <c r="P449" t="s">
        <v>1021</v>
      </c>
      <c r="Q449">
        <v>1</v>
      </c>
      <c r="R449">
        <v>1</v>
      </c>
    </row>
    <row r="450" spans="1:18" x14ac:dyDescent="0.25">
      <c r="A450" t="s">
        <v>920</v>
      </c>
      <c r="B450" t="s">
        <v>919</v>
      </c>
      <c r="C450" t="s">
        <v>18</v>
      </c>
      <c r="D450">
        <v>55</v>
      </c>
      <c r="E450" t="s">
        <v>1061</v>
      </c>
      <c r="F450" t="s">
        <v>1062</v>
      </c>
      <c r="G450" t="s">
        <v>28</v>
      </c>
      <c r="H450">
        <v>3</v>
      </c>
      <c r="I450">
        <v>100</v>
      </c>
      <c r="J450" s="6">
        <v>100</v>
      </c>
      <c r="K450">
        <v>2.4</v>
      </c>
      <c r="L450" t="b">
        <v>1</v>
      </c>
      <c r="M450">
        <v>0.73</v>
      </c>
      <c r="N450" s="1">
        <v>0.73</v>
      </c>
      <c r="O450" t="s">
        <v>1034</v>
      </c>
      <c r="P450" t="s">
        <v>1021</v>
      </c>
      <c r="Q450">
        <v>1</v>
      </c>
      <c r="R450">
        <v>2</v>
      </c>
    </row>
    <row r="451" spans="1:18" x14ac:dyDescent="0.25">
      <c r="A451" t="s">
        <v>922</v>
      </c>
      <c r="B451" t="s">
        <v>921</v>
      </c>
      <c r="C451" t="s">
        <v>18</v>
      </c>
      <c r="D451">
        <v>54</v>
      </c>
      <c r="E451" t="s">
        <v>1043</v>
      </c>
      <c r="F451" t="s">
        <v>1044</v>
      </c>
      <c r="G451" t="s">
        <v>1031</v>
      </c>
      <c r="H451">
        <v>10</v>
      </c>
      <c r="I451">
        <v>30</v>
      </c>
      <c r="J451" s="6">
        <v>30</v>
      </c>
      <c r="K451">
        <v>2.9</v>
      </c>
      <c r="L451" t="b">
        <v>1</v>
      </c>
      <c r="M451">
        <v>0.78</v>
      </c>
      <c r="N451" s="1">
        <v>0.78</v>
      </c>
      <c r="O451" t="s">
        <v>1041</v>
      </c>
      <c r="P451" t="s">
        <v>1025</v>
      </c>
      <c r="Q451">
        <v>3</v>
      </c>
      <c r="R451">
        <v>3</v>
      </c>
    </row>
    <row r="452" spans="1:18" x14ac:dyDescent="0.25">
      <c r="A452" t="s">
        <v>924</v>
      </c>
      <c r="B452" t="s">
        <v>923</v>
      </c>
      <c r="C452" t="s">
        <v>18</v>
      </c>
      <c r="D452">
        <v>36</v>
      </c>
      <c r="E452" t="s">
        <v>1032</v>
      </c>
      <c r="F452" t="s">
        <v>1033</v>
      </c>
      <c r="G452" t="s">
        <v>1046</v>
      </c>
      <c r="H452">
        <v>11</v>
      </c>
      <c r="I452" t="s">
        <v>29</v>
      </c>
      <c r="J452" s="6">
        <v>30</v>
      </c>
      <c r="K452">
        <v>0</v>
      </c>
      <c r="L452" t="b">
        <v>1</v>
      </c>
      <c r="M452">
        <v>0.63</v>
      </c>
      <c r="N452" s="1">
        <v>0.63</v>
      </c>
      <c r="O452" t="s">
        <v>1034</v>
      </c>
      <c r="P452" t="s">
        <v>1028</v>
      </c>
      <c r="Q452">
        <v>9</v>
      </c>
      <c r="R452">
        <v>14</v>
      </c>
    </row>
    <row r="453" spans="1:18" x14ac:dyDescent="0.25">
      <c r="A453" t="s">
        <v>926</v>
      </c>
      <c r="B453" t="s">
        <v>925</v>
      </c>
      <c r="C453" t="s">
        <v>18</v>
      </c>
      <c r="D453">
        <v>36</v>
      </c>
      <c r="E453" t="s">
        <v>1032</v>
      </c>
      <c r="F453" t="s">
        <v>1033</v>
      </c>
      <c r="G453" t="s">
        <v>28</v>
      </c>
      <c r="H453">
        <v>17</v>
      </c>
      <c r="I453">
        <v>50</v>
      </c>
      <c r="J453" s="6">
        <v>50</v>
      </c>
      <c r="K453">
        <v>1.3</v>
      </c>
      <c r="L453" t="b">
        <v>0</v>
      </c>
      <c r="M453">
        <v>0.64</v>
      </c>
      <c r="N453" s="1">
        <v>0.64</v>
      </c>
      <c r="O453" t="s">
        <v>1041</v>
      </c>
      <c r="P453" t="s">
        <v>1028</v>
      </c>
      <c r="Q453">
        <v>18</v>
      </c>
      <c r="R453">
        <v>7</v>
      </c>
    </row>
    <row r="454" spans="1:18" x14ac:dyDescent="0.25">
      <c r="A454" t="s">
        <v>928</v>
      </c>
      <c r="B454" t="s">
        <v>927</v>
      </c>
      <c r="C454" t="s">
        <v>18</v>
      </c>
      <c r="D454">
        <v>25</v>
      </c>
      <c r="E454" t="s">
        <v>1043</v>
      </c>
      <c r="F454" t="s">
        <v>1044</v>
      </c>
      <c r="G454" t="s">
        <v>1029</v>
      </c>
      <c r="H454">
        <v>1</v>
      </c>
      <c r="I454">
        <v>75</v>
      </c>
      <c r="J454" s="6">
        <v>75</v>
      </c>
      <c r="K454">
        <v>0</v>
      </c>
      <c r="L454" t="b">
        <v>1</v>
      </c>
      <c r="N454" s="1">
        <v>0.78</v>
      </c>
      <c r="O454" t="s">
        <v>1020</v>
      </c>
      <c r="P454" t="s">
        <v>1038</v>
      </c>
      <c r="Q454">
        <v>2</v>
      </c>
      <c r="R454">
        <v>3</v>
      </c>
    </row>
    <row r="455" spans="1:18" x14ac:dyDescent="0.25">
      <c r="A455" t="s">
        <v>930</v>
      </c>
      <c r="B455" t="s">
        <v>929</v>
      </c>
      <c r="C455" t="s">
        <v>41</v>
      </c>
      <c r="D455">
        <v>46</v>
      </c>
      <c r="E455" t="s">
        <v>1035</v>
      </c>
      <c r="F455" t="s">
        <v>1036</v>
      </c>
      <c r="G455" t="s">
        <v>28</v>
      </c>
      <c r="H455">
        <v>16</v>
      </c>
      <c r="I455">
        <v>20</v>
      </c>
      <c r="J455" s="6">
        <v>20</v>
      </c>
      <c r="K455">
        <v>4.8</v>
      </c>
      <c r="L455" t="b">
        <v>1</v>
      </c>
      <c r="M455">
        <v>0.86</v>
      </c>
      <c r="N455" s="1">
        <v>0.86</v>
      </c>
      <c r="O455" t="s">
        <v>1020</v>
      </c>
      <c r="P455" t="s">
        <v>1021</v>
      </c>
      <c r="Q455">
        <v>12</v>
      </c>
      <c r="R455">
        <v>8</v>
      </c>
    </row>
    <row r="456" spans="1:18" x14ac:dyDescent="0.25">
      <c r="A456" t="s">
        <v>1074</v>
      </c>
      <c r="B456" t="s">
        <v>931</v>
      </c>
      <c r="C456" t="s">
        <v>41</v>
      </c>
      <c r="D456">
        <v>41</v>
      </c>
      <c r="E456" t="s">
        <v>1043</v>
      </c>
      <c r="F456" t="s">
        <v>1044</v>
      </c>
      <c r="G456" t="s">
        <v>1031</v>
      </c>
      <c r="H456">
        <v>11</v>
      </c>
      <c r="I456" t="s">
        <v>24</v>
      </c>
      <c r="J456" s="6">
        <v>40</v>
      </c>
      <c r="K456">
        <v>2.4</v>
      </c>
      <c r="L456" t="b">
        <v>0</v>
      </c>
      <c r="N456" s="1">
        <v>0.78</v>
      </c>
      <c r="O456" t="s">
        <v>1042</v>
      </c>
      <c r="P456" t="s">
        <v>1038</v>
      </c>
      <c r="Q456">
        <v>9</v>
      </c>
      <c r="R456">
        <v>2</v>
      </c>
    </row>
    <row r="457" spans="1:18" x14ac:dyDescent="0.25">
      <c r="A457" t="s">
        <v>933</v>
      </c>
      <c r="B457" t="s">
        <v>932</v>
      </c>
      <c r="C457" t="s">
        <v>18</v>
      </c>
      <c r="D457">
        <v>21</v>
      </c>
      <c r="E457" t="s">
        <v>1056</v>
      </c>
      <c r="F457" t="s">
        <v>1057</v>
      </c>
      <c r="G457" t="s">
        <v>1024</v>
      </c>
      <c r="H457">
        <v>3</v>
      </c>
      <c r="I457" t="s">
        <v>174</v>
      </c>
      <c r="J457" s="6">
        <v>100</v>
      </c>
      <c r="K457">
        <v>4.7</v>
      </c>
      <c r="L457" t="b">
        <v>0</v>
      </c>
      <c r="M457">
        <v>0.96</v>
      </c>
      <c r="N457" s="1">
        <v>0.96</v>
      </c>
      <c r="O457" t="s">
        <v>1041</v>
      </c>
      <c r="P457" t="s">
        <v>1038</v>
      </c>
      <c r="Q457">
        <v>2</v>
      </c>
      <c r="R457">
        <v>1</v>
      </c>
    </row>
    <row r="458" spans="1:18" x14ac:dyDescent="0.25">
      <c r="A458" t="s">
        <v>935</v>
      </c>
      <c r="B458" t="s">
        <v>934</v>
      </c>
      <c r="C458" t="s">
        <v>41</v>
      </c>
      <c r="D458">
        <v>29</v>
      </c>
      <c r="E458" t="s">
        <v>38</v>
      </c>
      <c r="F458" t="s">
        <v>1023</v>
      </c>
      <c r="G458" t="s">
        <v>1027</v>
      </c>
      <c r="H458">
        <v>10</v>
      </c>
      <c r="I458" t="s">
        <v>119</v>
      </c>
      <c r="J458" s="6">
        <v>75</v>
      </c>
      <c r="K458">
        <v>2</v>
      </c>
      <c r="L458" t="b">
        <v>0</v>
      </c>
      <c r="N458" s="1">
        <v>0.78</v>
      </c>
      <c r="O458" t="s">
        <v>1041</v>
      </c>
      <c r="P458" t="s">
        <v>1028</v>
      </c>
      <c r="Q458">
        <v>4</v>
      </c>
      <c r="R458">
        <v>3</v>
      </c>
    </row>
    <row r="459" spans="1:18" x14ac:dyDescent="0.25">
      <c r="A459" t="s">
        <v>937</v>
      </c>
      <c r="B459" t="s">
        <v>936</v>
      </c>
      <c r="C459" t="s">
        <v>18</v>
      </c>
      <c r="D459">
        <v>44</v>
      </c>
      <c r="E459" t="s">
        <v>38</v>
      </c>
      <c r="F459" t="s">
        <v>1023</v>
      </c>
      <c r="G459" t="s">
        <v>1024</v>
      </c>
      <c r="H459">
        <v>3</v>
      </c>
      <c r="I459" t="s">
        <v>42</v>
      </c>
      <c r="J459" s="6">
        <v>50</v>
      </c>
      <c r="K459">
        <v>2.2000000000000002</v>
      </c>
      <c r="L459" t="b">
        <v>0</v>
      </c>
      <c r="M459">
        <v>0.77</v>
      </c>
      <c r="N459" s="1">
        <v>0.77</v>
      </c>
      <c r="O459" t="s">
        <v>1034</v>
      </c>
      <c r="P459" t="s">
        <v>1025</v>
      </c>
      <c r="Q459">
        <v>4</v>
      </c>
      <c r="R459">
        <v>1</v>
      </c>
    </row>
    <row r="460" spans="1:18" x14ac:dyDescent="0.25">
      <c r="A460" t="s">
        <v>939</v>
      </c>
      <c r="B460" t="s">
        <v>938</v>
      </c>
      <c r="C460" t="s">
        <v>41</v>
      </c>
      <c r="D460">
        <v>40</v>
      </c>
      <c r="E460" t="s">
        <v>1058</v>
      </c>
      <c r="F460" t="s">
        <v>1023</v>
      </c>
      <c r="G460" t="s">
        <v>1031</v>
      </c>
      <c r="H460">
        <v>1</v>
      </c>
      <c r="I460">
        <v>100</v>
      </c>
      <c r="J460" s="6">
        <v>100</v>
      </c>
      <c r="K460">
        <v>2.1</v>
      </c>
      <c r="L460" t="b">
        <v>1</v>
      </c>
      <c r="N460" s="1">
        <v>0.78</v>
      </c>
      <c r="O460" t="s">
        <v>1042</v>
      </c>
      <c r="P460" t="s">
        <v>1025</v>
      </c>
      <c r="Q460">
        <v>4</v>
      </c>
      <c r="R460">
        <v>1</v>
      </c>
    </row>
    <row r="461" spans="1:18" x14ac:dyDescent="0.25">
      <c r="A461" t="s">
        <v>941</v>
      </c>
      <c r="B461" t="s">
        <v>940</v>
      </c>
      <c r="C461" t="s">
        <v>18</v>
      </c>
      <c r="D461">
        <v>27</v>
      </c>
      <c r="E461" t="s">
        <v>1061</v>
      </c>
      <c r="F461" t="s">
        <v>1062</v>
      </c>
      <c r="G461" t="s">
        <v>1037</v>
      </c>
      <c r="H461">
        <v>1</v>
      </c>
      <c r="I461">
        <v>30</v>
      </c>
      <c r="J461" s="6">
        <v>30</v>
      </c>
      <c r="K461">
        <v>1.7</v>
      </c>
      <c r="L461" t="b">
        <v>0</v>
      </c>
      <c r="M461">
        <v>0.65</v>
      </c>
      <c r="N461" s="1">
        <v>0.65</v>
      </c>
      <c r="O461" t="s">
        <v>1041</v>
      </c>
      <c r="P461" t="s">
        <v>1028</v>
      </c>
      <c r="Q461">
        <v>5</v>
      </c>
      <c r="R461">
        <v>4</v>
      </c>
    </row>
    <row r="462" spans="1:18" x14ac:dyDescent="0.25">
      <c r="A462" t="s">
        <v>943</v>
      </c>
      <c r="B462" t="s">
        <v>942</v>
      </c>
      <c r="C462" t="s">
        <v>41</v>
      </c>
      <c r="D462">
        <v>53</v>
      </c>
      <c r="E462" t="s">
        <v>1059</v>
      </c>
      <c r="F462" t="s">
        <v>1060</v>
      </c>
      <c r="G462" t="s">
        <v>1024</v>
      </c>
      <c r="H462">
        <v>35</v>
      </c>
      <c r="J462" s="6">
        <v>70</v>
      </c>
      <c r="K462">
        <v>5</v>
      </c>
      <c r="L462" t="b">
        <v>1</v>
      </c>
      <c r="M462">
        <v>0.62</v>
      </c>
      <c r="N462" s="1">
        <v>0.62</v>
      </c>
      <c r="O462" t="s">
        <v>1042</v>
      </c>
      <c r="P462" t="s">
        <v>1025</v>
      </c>
      <c r="Q462">
        <v>14</v>
      </c>
      <c r="R462">
        <v>9</v>
      </c>
    </row>
    <row r="463" spans="1:18" x14ac:dyDescent="0.25">
      <c r="A463" t="s">
        <v>1075</v>
      </c>
      <c r="B463" t="s">
        <v>944</v>
      </c>
      <c r="C463" t="s">
        <v>41</v>
      </c>
      <c r="D463">
        <v>20</v>
      </c>
      <c r="E463" t="s">
        <v>1039</v>
      </c>
      <c r="F463" t="s">
        <v>1040</v>
      </c>
      <c r="G463" t="s">
        <v>1037</v>
      </c>
      <c r="H463">
        <v>1</v>
      </c>
      <c r="I463">
        <v>50</v>
      </c>
      <c r="J463" s="6">
        <v>50</v>
      </c>
      <c r="K463">
        <v>2.9</v>
      </c>
      <c r="L463" t="b">
        <v>0</v>
      </c>
      <c r="M463">
        <v>0.81</v>
      </c>
      <c r="N463" s="1">
        <v>0.81</v>
      </c>
      <c r="O463" t="s">
        <v>1020</v>
      </c>
      <c r="P463" t="s">
        <v>1038</v>
      </c>
      <c r="Q463">
        <v>1</v>
      </c>
      <c r="R463">
        <v>1</v>
      </c>
    </row>
    <row r="464" spans="1:18" x14ac:dyDescent="0.25">
      <c r="A464" t="s">
        <v>946</v>
      </c>
      <c r="B464" t="s">
        <v>945</v>
      </c>
      <c r="C464" t="s">
        <v>18</v>
      </c>
      <c r="D464">
        <v>41</v>
      </c>
      <c r="E464" t="s">
        <v>1048</v>
      </c>
      <c r="F464" t="s">
        <v>1049</v>
      </c>
      <c r="G464" t="s">
        <v>1050</v>
      </c>
      <c r="H464">
        <v>12</v>
      </c>
      <c r="I464" t="s">
        <v>42</v>
      </c>
      <c r="J464" s="6">
        <v>50</v>
      </c>
      <c r="K464">
        <v>4.0999999999999996</v>
      </c>
      <c r="L464" t="b">
        <v>1</v>
      </c>
      <c r="M464">
        <v>0.62</v>
      </c>
      <c r="N464" s="1">
        <v>0.62</v>
      </c>
      <c r="O464" t="s">
        <v>1041</v>
      </c>
      <c r="P464" t="s">
        <v>1021</v>
      </c>
      <c r="Q464">
        <v>7</v>
      </c>
      <c r="R464">
        <v>4</v>
      </c>
    </row>
    <row r="465" spans="1:18" x14ac:dyDescent="0.25">
      <c r="A465" t="s">
        <v>948</v>
      </c>
      <c r="B465" t="s">
        <v>947</v>
      </c>
      <c r="C465" t="s">
        <v>41</v>
      </c>
      <c r="D465">
        <v>26</v>
      </c>
      <c r="E465" t="s">
        <v>1067</v>
      </c>
      <c r="F465" t="s">
        <v>1044</v>
      </c>
      <c r="G465" t="s">
        <v>1029</v>
      </c>
      <c r="H465">
        <v>8</v>
      </c>
      <c r="I465">
        <v>40</v>
      </c>
      <c r="J465" s="6">
        <v>40</v>
      </c>
      <c r="K465">
        <v>4.9000000000000004</v>
      </c>
      <c r="L465" t="b">
        <v>0</v>
      </c>
      <c r="M465">
        <v>0.87</v>
      </c>
      <c r="N465" s="1">
        <v>0.87</v>
      </c>
      <c r="O465" t="s">
        <v>1041</v>
      </c>
      <c r="P465" t="s">
        <v>1028</v>
      </c>
      <c r="Q465">
        <v>9</v>
      </c>
      <c r="R465">
        <v>4</v>
      </c>
    </row>
    <row r="466" spans="1:18" x14ac:dyDescent="0.25">
      <c r="A466" t="s">
        <v>950</v>
      </c>
      <c r="B466" t="s">
        <v>949</v>
      </c>
      <c r="C466" t="s">
        <v>18</v>
      </c>
      <c r="D466">
        <v>49</v>
      </c>
      <c r="E466" t="s">
        <v>1053</v>
      </c>
      <c r="F466" t="s">
        <v>1054</v>
      </c>
      <c r="G466" t="s">
        <v>1031</v>
      </c>
      <c r="H466">
        <v>13</v>
      </c>
      <c r="I466" t="s">
        <v>174</v>
      </c>
      <c r="J466" s="6">
        <v>100</v>
      </c>
      <c r="K466">
        <v>2.4</v>
      </c>
      <c r="L466" t="b">
        <v>0</v>
      </c>
      <c r="N466" s="1">
        <v>0.78</v>
      </c>
      <c r="O466" t="s">
        <v>1042</v>
      </c>
      <c r="P466" t="s">
        <v>1021</v>
      </c>
      <c r="Q466">
        <v>6</v>
      </c>
      <c r="R466">
        <v>2</v>
      </c>
    </row>
    <row r="467" spans="1:18" x14ac:dyDescent="0.25">
      <c r="A467" t="s">
        <v>952</v>
      </c>
      <c r="B467" t="s">
        <v>951</v>
      </c>
      <c r="C467" t="s">
        <v>18</v>
      </c>
      <c r="D467">
        <v>20</v>
      </c>
      <c r="E467" t="s">
        <v>1061</v>
      </c>
      <c r="F467" t="s">
        <v>1062</v>
      </c>
      <c r="G467" t="s">
        <v>1037</v>
      </c>
      <c r="H467">
        <v>0</v>
      </c>
      <c r="I467" t="s">
        <v>71</v>
      </c>
      <c r="J467" s="6">
        <v>30</v>
      </c>
      <c r="K467">
        <v>0</v>
      </c>
      <c r="L467" t="b">
        <v>1</v>
      </c>
      <c r="M467">
        <v>76</v>
      </c>
      <c r="N467" s="1">
        <v>0.76</v>
      </c>
      <c r="O467" t="s">
        <v>1041</v>
      </c>
      <c r="P467" t="s">
        <v>1025</v>
      </c>
      <c r="Q467">
        <v>5</v>
      </c>
      <c r="R467">
        <v>3</v>
      </c>
    </row>
    <row r="468" spans="1:18" x14ac:dyDescent="0.25">
      <c r="A468" t="s">
        <v>954</v>
      </c>
      <c r="B468" t="s">
        <v>953</v>
      </c>
      <c r="C468" t="s">
        <v>18</v>
      </c>
      <c r="D468">
        <v>39</v>
      </c>
      <c r="E468" t="s">
        <v>1065</v>
      </c>
      <c r="F468" t="s">
        <v>1066</v>
      </c>
      <c r="G468" t="s">
        <v>1019</v>
      </c>
      <c r="H468">
        <v>11</v>
      </c>
      <c r="I468">
        <v>100</v>
      </c>
      <c r="J468" s="6">
        <v>100</v>
      </c>
      <c r="K468">
        <v>2.8</v>
      </c>
      <c r="L468" t="b">
        <v>0</v>
      </c>
      <c r="M468">
        <v>70</v>
      </c>
      <c r="N468" s="1">
        <v>0.7</v>
      </c>
      <c r="O468" t="s">
        <v>1042</v>
      </c>
      <c r="P468" t="s">
        <v>1021</v>
      </c>
      <c r="Q468">
        <v>9</v>
      </c>
      <c r="R468">
        <v>10</v>
      </c>
    </row>
    <row r="469" spans="1:18" x14ac:dyDescent="0.25">
      <c r="A469" t="s">
        <v>956</v>
      </c>
      <c r="B469" t="s">
        <v>955</v>
      </c>
      <c r="C469" t="s">
        <v>18</v>
      </c>
      <c r="D469">
        <v>41</v>
      </c>
      <c r="E469" t="s">
        <v>1065</v>
      </c>
      <c r="F469" t="s">
        <v>1066</v>
      </c>
      <c r="G469" t="s">
        <v>1031</v>
      </c>
      <c r="H469">
        <v>19</v>
      </c>
      <c r="I469">
        <v>100</v>
      </c>
      <c r="J469" s="6">
        <v>100</v>
      </c>
      <c r="K469">
        <v>3.8</v>
      </c>
      <c r="L469" t="b">
        <v>1</v>
      </c>
      <c r="M469">
        <v>0.71</v>
      </c>
      <c r="N469" s="1">
        <v>0.71</v>
      </c>
      <c r="O469" t="s">
        <v>1041</v>
      </c>
      <c r="P469" t="s">
        <v>1025</v>
      </c>
      <c r="Q469">
        <v>16</v>
      </c>
      <c r="R469">
        <v>5</v>
      </c>
    </row>
    <row r="470" spans="1:18" x14ac:dyDescent="0.25">
      <c r="A470" t="s">
        <v>958</v>
      </c>
      <c r="B470" t="s">
        <v>957</v>
      </c>
      <c r="C470" t="s">
        <v>41</v>
      </c>
      <c r="D470">
        <v>59</v>
      </c>
      <c r="E470" t="s">
        <v>1058</v>
      </c>
      <c r="F470" t="s">
        <v>1023</v>
      </c>
      <c r="G470" t="s">
        <v>1024</v>
      </c>
      <c r="H470">
        <v>30</v>
      </c>
      <c r="I470" t="s">
        <v>71</v>
      </c>
      <c r="J470" s="6">
        <v>30</v>
      </c>
      <c r="K470">
        <v>4.3</v>
      </c>
      <c r="L470" t="b">
        <v>1</v>
      </c>
      <c r="M470">
        <v>0.83</v>
      </c>
      <c r="N470" s="1">
        <v>0.83</v>
      </c>
      <c r="O470" t="s">
        <v>1034</v>
      </c>
      <c r="P470" t="s">
        <v>1025</v>
      </c>
      <c r="Q470">
        <v>11</v>
      </c>
      <c r="R470">
        <v>3</v>
      </c>
    </row>
    <row r="471" spans="1:18" x14ac:dyDescent="0.25">
      <c r="A471" t="s">
        <v>960</v>
      </c>
      <c r="B471" t="s">
        <v>959</v>
      </c>
      <c r="C471" t="s">
        <v>18</v>
      </c>
      <c r="D471">
        <v>45</v>
      </c>
      <c r="E471" t="s">
        <v>1022</v>
      </c>
      <c r="F471" t="s">
        <v>1023</v>
      </c>
      <c r="G471" t="s">
        <v>1019</v>
      </c>
      <c r="H471">
        <v>8</v>
      </c>
      <c r="I471">
        <v>40</v>
      </c>
      <c r="J471" s="6">
        <v>40</v>
      </c>
      <c r="K471">
        <v>0</v>
      </c>
      <c r="L471" t="b">
        <v>0</v>
      </c>
      <c r="M471">
        <v>78</v>
      </c>
      <c r="N471" s="1">
        <v>0.78</v>
      </c>
      <c r="O471" t="s">
        <v>1042</v>
      </c>
      <c r="P471" t="s">
        <v>1038</v>
      </c>
      <c r="Q471">
        <v>7</v>
      </c>
      <c r="R471">
        <v>9</v>
      </c>
    </row>
    <row r="472" spans="1:18" x14ac:dyDescent="0.25">
      <c r="A472" t="s">
        <v>962</v>
      </c>
      <c r="B472" t="s">
        <v>961</v>
      </c>
      <c r="C472" t="s">
        <v>41</v>
      </c>
      <c r="D472">
        <v>22</v>
      </c>
      <c r="E472" t="s">
        <v>1035</v>
      </c>
      <c r="F472" t="s">
        <v>1036</v>
      </c>
      <c r="G472" t="s">
        <v>1046</v>
      </c>
      <c r="H472">
        <v>0</v>
      </c>
      <c r="I472">
        <v>40</v>
      </c>
      <c r="J472" s="6">
        <v>40</v>
      </c>
      <c r="K472">
        <v>1.3</v>
      </c>
      <c r="L472" t="b">
        <v>1</v>
      </c>
      <c r="M472">
        <v>0.78</v>
      </c>
      <c r="N472" s="1">
        <v>0.78</v>
      </c>
      <c r="O472" t="s">
        <v>1041</v>
      </c>
      <c r="P472" t="s">
        <v>1025</v>
      </c>
      <c r="Q472">
        <v>2</v>
      </c>
      <c r="R472">
        <v>1</v>
      </c>
    </row>
    <row r="473" spans="1:18" x14ac:dyDescent="0.25">
      <c r="A473" t="s">
        <v>964</v>
      </c>
      <c r="B473" t="s">
        <v>963</v>
      </c>
      <c r="C473" t="s">
        <v>18</v>
      </c>
      <c r="D473">
        <v>48</v>
      </c>
      <c r="E473" t="s">
        <v>1051</v>
      </c>
      <c r="F473" t="s">
        <v>1052</v>
      </c>
      <c r="G473" t="s">
        <v>1024</v>
      </c>
      <c r="H473">
        <v>7</v>
      </c>
      <c r="I473">
        <v>50</v>
      </c>
      <c r="J473" s="6">
        <v>50</v>
      </c>
      <c r="K473">
        <v>4.7</v>
      </c>
      <c r="L473" t="b">
        <v>1</v>
      </c>
      <c r="M473">
        <v>0.6</v>
      </c>
      <c r="N473" s="1">
        <v>0.6</v>
      </c>
      <c r="O473" t="s">
        <v>1020</v>
      </c>
      <c r="P473" t="s">
        <v>1038</v>
      </c>
      <c r="Q473">
        <v>13</v>
      </c>
      <c r="R473">
        <v>10</v>
      </c>
    </row>
    <row r="474" spans="1:18" x14ac:dyDescent="0.25">
      <c r="A474" t="s">
        <v>966</v>
      </c>
      <c r="B474" t="s">
        <v>965</v>
      </c>
      <c r="C474" t="s">
        <v>41</v>
      </c>
      <c r="D474">
        <v>36</v>
      </c>
      <c r="E474" t="s">
        <v>1059</v>
      </c>
      <c r="F474" t="s">
        <v>1060</v>
      </c>
      <c r="G474" t="s">
        <v>1019</v>
      </c>
      <c r="H474">
        <v>11</v>
      </c>
      <c r="I474" t="s">
        <v>24</v>
      </c>
      <c r="J474" s="6">
        <v>40</v>
      </c>
      <c r="K474">
        <v>1.3</v>
      </c>
      <c r="L474" t="b">
        <v>1</v>
      </c>
      <c r="N474" s="1">
        <v>0.78</v>
      </c>
      <c r="O474" t="s">
        <v>1041</v>
      </c>
      <c r="P474" t="s">
        <v>1038</v>
      </c>
      <c r="Q474">
        <v>15</v>
      </c>
      <c r="R474">
        <v>4</v>
      </c>
    </row>
    <row r="475" spans="1:18" x14ac:dyDescent="0.25">
      <c r="A475" t="s">
        <v>968</v>
      </c>
      <c r="B475" t="s">
        <v>967</v>
      </c>
      <c r="C475" t="s">
        <v>18</v>
      </c>
      <c r="D475">
        <v>57</v>
      </c>
      <c r="E475" t="s">
        <v>1065</v>
      </c>
      <c r="F475" t="s">
        <v>1066</v>
      </c>
      <c r="G475" t="s">
        <v>1019</v>
      </c>
      <c r="H475">
        <v>10</v>
      </c>
      <c r="I475">
        <v>75</v>
      </c>
      <c r="J475" s="6">
        <v>75</v>
      </c>
      <c r="K475">
        <v>4.8</v>
      </c>
      <c r="L475" t="b">
        <v>1</v>
      </c>
      <c r="N475" s="1">
        <v>0.78</v>
      </c>
      <c r="O475" t="s">
        <v>1020</v>
      </c>
      <c r="P475" t="s">
        <v>1038</v>
      </c>
      <c r="Q475">
        <v>1</v>
      </c>
      <c r="R475">
        <v>2</v>
      </c>
    </row>
    <row r="476" spans="1:18" x14ac:dyDescent="0.25">
      <c r="A476" t="s">
        <v>970</v>
      </c>
      <c r="B476" t="s">
        <v>969</v>
      </c>
      <c r="C476" t="s">
        <v>41</v>
      </c>
      <c r="D476">
        <v>42</v>
      </c>
      <c r="E476" t="s">
        <v>38</v>
      </c>
      <c r="F476" t="s">
        <v>1023</v>
      </c>
      <c r="G476" t="s">
        <v>1045</v>
      </c>
      <c r="H476">
        <v>14</v>
      </c>
      <c r="I476" t="s">
        <v>29</v>
      </c>
      <c r="J476" s="6">
        <v>30</v>
      </c>
      <c r="K476">
        <v>1.3</v>
      </c>
      <c r="L476" t="b">
        <v>0</v>
      </c>
      <c r="M476">
        <v>0.94</v>
      </c>
      <c r="N476" s="1">
        <v>0.94</v>
      </c>
      <c r="O476" t="s">
        <v>1020</v>
      </c>
      <c r="P476" t="s">
        <v>1028</v>
      </c>
      <c r="Q476">
        <v>6</v>
      </c>
      <c r="R476">
        <v>1</v>
      </c>
    </row>
    <row r="477" spans="1:18" x14ac:dyDescent="0.25">
      <c r="A477" t="s">
        <v>972</v>
      </c>
      <c r="B477" t="s">
        <v>971</v>
      </c>
      <c r="C477" t="s">
        <v>41</v>
      </c>
      <c r="D477">
        <v>31</v>
      </c>
      <c r="E477" t="s">
        <v>1035</v>
      </c>
      <c r="F477" t="s">
        <v>1036</v>
      </c>
      <c r="G477" t="s">
        <v>1046</v>
      </c>
      <c r="H477">
        <v>11</v>
      </c>
      <c r="I477" t="s">
        <v>42</v>
      </c>
      <c r="J477" s="6">
        <v>50</v>
      </c>
      <c r="K477">
        <v>4.3</v>
      </c>
      <c r="L477" t="b">
        <v>0</v>
      </c>
      <c r="M477">
        <v>62</v>
      </c>
      <c r="N477" s="1">
        <v>0.62</v>
      </c>
      <c r="O477" t="s">
        <v>1034</v>
      </c>
      <c r="P477" t="s">
        <v>1028</v>
      </c>
      <c r="Q477">
        <v>7</v>
      </c>
      <c r="R477">
        <v>14</v>
      </c>
    </row>
    <row r="478" spans="1:18" x14ac:dyDescent="0.25">
      <c r="A478" t="s">
        <v>974</v>
      </c>
      <c r="B478" t="s">
        <v>973</v>
      </c>
      <c r="C478" t="s">
        <v>41</v>
      </c>
      <c r="D478">
        <v>52</v>
      </c>
      <c r="E478" t="s">
        <v>1068</v>
      </c>
      <c r="F478" t="s">
        <v>1044</v>
      </c>
      <c r="G478" t="s">
        <v>1046</v>
      </c>
      <c r="H478">
        <v>31</v>
      </c>
      <c r="I478">
        <v>30</v>
      </c>
      <c r="J478" s="6">
        <v>30</v>
      </c>
      <c r="K478">
        <v>2.4</v>
      </c>
      <c r="L478" t="b">
        <v>1</v>
      </c>
      <c r="N478" s="1">
        <v>0.78</v>
      </c>
      <c r="O478" t="s">
        <v>1042</v>
      </c>
      <c r="P478" t="s">
        <v>1025</v>
      </c>
      <c r="Q478">
        <v>14</v>
      </c>
      <c r="R478">
        <v>3</v>
      </c>
    </row>
    <row r="479" spans="1:18" x14ac:dyDescent="0.25">
      <c r="A479" t="s">
        <v>976</v>
      </c>
      <c r="B479" t="s">
        <v>975</v>
      </c>
      <c r="C479" t="s">
        <v>41</v>
      </c>
      <c r="D479">
        <v>56</v>
      </c>
      <c r="E479" t="s">
        <v>1032</v>
      </c>
      <c r="F479" t="s">
        <v>1033</v>
      </c>
      <c r="G479" t="s">
        <v>1050</v>
      </c>
      <c r="H479">
        <v>16</v>
      </c>
      <c r="I479" t="s">
        <v>71</v>
      </c>
      <c r="J479" s="6">
        <v>30</v>
      </c>
      <c r="K479">
        <v>0</v>
      </c>
      <c r="L479" t="b">
        <v>1</v>
      </c>
      <c r="N479" s="1">
        <v>0.78</v>
      </c>
      <c r="O479" t="s">
        <v>1041</v>
      </c>
      <c r="P479" t="s">
        <v>1038</v>
      </c>
      <c r="Q479">
        <v>12</v>
      </c>
      <c r="R479">
        <v>10</v>
      </c>
    </row>
    <row r="480" spans="1:18" x14ac:dyDescent="0.25">
      <c r="A480" t="s">
        <v>978</v>
      </c>
      <c r="B480" t="s">
        <v>977</v>
      </c>
      <c r="C480" t="s">
        <v>18</v>
      </c>
      <c r="D480">
        <v>24</v>
      </c>
      <c r="E480" t="s">
        <v>1032</v>
      </c>
      <c r="F480" t="s">
        <v>1033</v>
      </c>
      <c r="G480" t="s">
        <v>1050</v>
      </c>
      <c r="H480">
        <v>6</v>
      </c>
      <c r="I480">
        <v>30</v>
      </c>
      <c r="J480" s="6">
        <v>30</v>
      </c>
      <c r="K480">
        <v>0</v>
      </c>
      <c r="L480" t="b">
        <v>1</v>
      </c>
      <c r="M480">
        <v>0.84</v>
      </c>
      <c r="N480" s="1">
        <v>0.84</v>
      </c>
      <c r="O480" t="s">
        <v>1034</v>
      </c>
      <c r="P480" t="s">
        <v>1028</v>
      </c>
      <c r="Q480">
        <v>6</v>
      </c>
      <c r="R480">
        <v>4</v>
      </c>
    </row>
    <row r="481" spans="1:18" x14ac:dyDescent="0.25">
      <c r="A481" t="s">
        <v>980</v>
      </c>
      <c r="B481" t="s">
        <v>979</v>
      </c>
      <c r="C481" t="s">
        <v>41</v>
      </c>
      <c r="D481">
        <v>48</v>
      </c>
      <c r="E481" t="s">
        <v>1058</v>
      </c>
      <c r="F481" t="s">
        <v>1023</v>
      </c>
      <c r="G481" t="s">
        <v>1050</v>
      </c>
      <c r="H481">
        <v>21</v>
      </c>
      <c r="I481">
        <v>75</v>
      </c>
      <c r="J481" s="6">
        <v>75</v>
      </c>
      <c r="K481">
        <v>2.7</v>
      </c>
      <c r="L481" t="b">
        <v>1</v>
      </c>
      <c r="N481" s="1">
        <v>0.78</v>
      </c>
      <c r="O481" t="s">
        <v>1041</v>
      </c>
      <c r="P481" t="s">
        <v>1038</v>
      </c>
      <c r="Q481">
        <v>17</v>
      </c>
      <c r="R481">
        <v>8</v>
      </c>
    </row>
    <row r="482" spans="1:18" x14ac:dyDescent="0.25">
      <c r="A482" t="s">
        <v>982</v>
      </c>
      <c r="B482" t="s">
        <v>981</v>
      </c>
      <c r="C482" t="s">
        <v>41</v>
      </c>
      <c r="D482">
        <v>59</v>
      </c>
      <c r="E482" t="s">
        <v>1059</v>
      </c>
      <c r="F482" t="s">
        <v>1060</v>
      </c>
      <c r="G482" t="s">
        <v>1046</v>
      </c>
      <c r="H482">
        <v>13</v>
      </c>
      <c r="I482">
        <v>40</v>
      </c>
      <c r="J482" s="6">
        <v>40</v>
      </c>
      <c r="K482">
        <v>2.4</v>
      </c>
      <c r="L482" t="b">
        <v>0</v>
      </c>
      <c r="M482">
        <v>65</v>
      </c>
      <c r="N482" s="1">
        <v>0.65</v>
      </c>
      <c r="O482" t="s">
        <v>1020</v>
      </c>
      <c r="P482" t="s">
        <v>1021</v>
      </c>
      <c r="Q482">
        <v>13</v>
      </c>
      <c r="R482">
        <v>4</v>
      </c>
    </row>
    <row r="483" spans="1:18" x14ac:dyDescent="0.25">
      <c r="A483" t="s">
        <v>984</v>
      </c>
      <c r="B483" t="s">
        <v>983</v>
      </c>
      <c r="C483" t="s">
        <v>41</v>
      </c>
      <c r="D483">
        <v>41</v>
      </c>
      <c r="E483" t="s">
        <v>45</v>
      </c>
      <c r="F483" t="s">
        <v>1023</v>
      </c>
      <c r="G483" t="s">
        <v>1029</v>
      </c>
      <c r="H483">
        <v>10</v>
      </c>
      <c r="I483">
        <v>40</v>
      </c>
      <c r="J483" s="6">
        <v>40</v>
      </c>
      <c r="K483">
        <v>1.9</v>
      </c>
      <c r="L483" t="b">
        <v>1</v>
      </c>
      <c r="M483">
        <v>0.94</v>
      </c>
      <c r="N483" s="1">
        <v>0.94</v>
      </c>
      <c r="O483" t="s">
        <v>1042</v>
      </c>
      <c r="P483" t="s">
        <v>1021</v>
      </c>
      <c r="Q483">
        <v>4</v>
      </c>
      <c r="R483">
        <v>3</v>
      </c>
    </row>
    <row r="484" spans="1:18" x14ac:dyDescent="0.25">
      <c r="A484" t="s">
        <v>986</v>
      </c>
      <c r="B484" t="s">
        <v>985</v>
      </c>
      <c r="C484" t="s">
        <v>18</v>
      </c>
      <c r="D484">
        <v>41</v>
      </c>
      <c r="E484" t="s">
        <v>1032</v>
      </c>
      <c r="F484" t="s">
        <v>1033</v>
      </c>
      <c r="G484" t="s">
        <v>1024</v>
      </c>
      <c r="H484">
        <v>11</v>
      </c>
      <c r="I484" t="s">
        <v>80</v>
      </c>
      <c r="J484" s="6">
        <v>20</v>
      </c>
      <c r="K484">
        <v>3.6</v>
      </c>
      <c r="L484" t="b">
        <v>0</v>
      </c>
      <c r="M484">
        <v>0.69</v>
      </c>
      <c r="N484" s="1">
        <v>0.69</v>
      </c>
      <c r="O484" t="s">
        <v>1041</v>
      </c>
      <c r="P484" t="s">
        <v>1021</v>
      </c>
      <c r="Q484">
        <v>15</v>
      </c>
      <c r="R484">
        <v>6</v>
      </c>
    </row>
    <row r="485" spans="1:18" x14ac:dyDescent="0.25">
      <c r="A485" t="s">
        <v>988</v>
      </c>
      <c r="B485" t="s">
        <v>987</v>
      </c>
      <c r="C485" t="s">
        <v>41</v>
      </c>
      <c r="D485">
        <v>25</v>
      </c>
      <c r="E485" t="s">
        <v>1032</v>
      </c>
      <c r="F485" t="s">
        <v>1033</v>
      </c>
      <c r="G485" t="s">
        <v>1024</v>
      </c>
      <c r="H485">
        <v>0</v>
      </c>
      <c r="I485">
        <v>50</v>
      </c>
      <c r="J485" s="6">
        <v>50</v>
      </c>
      <c r="K485">
        <v>2.9</v>
      </c>
      <c r="L485" t="b">
        <v>1</v>
      </c>
      <c r="M485">
        <v>0.65</v>
      </c>
      <c r="N485" s="1">
        <v>0.65</v>
      </c>
      <c r="O485" t="s">
        <v>1041</v>
      </c>
      <c r="P485" t="s">
        <v>1025</v>
      </c>
      <c r="Q485">
        <v>2</v>
      </c>
      <c r="R485">
        <v>1</v>
      </c>
    </row>
    <row r="486" spans="1:18" x14ac:dyDescent="0.25">
      <c r="A486" t="s">
        <v>990</v>
      </c>
      <c r="B486" t="s">
        <v>989</v>
      </c>
      <c r="C486" t="s">
        <v>41</v>
      </c>
      <c r="D486">
        <v>31</v>
      </c>
      <c r="E486" t="s">
        <v>1061</v>
      </c>
      <c r="F486" t="s">
        <v>1062</v>
      </c>
      <c r="G486" t="s">
        <v>1024</v>
      </c>
      <c r="H486">
        <v>2</v>
      </c>
      <c r="I486" t="s">
        <v>119</v>
      </c>
      <c r="J486" s="6">
        <v>75</v>
      </c>
      <c r="K486">
        <v>2.8</v>
      </c>
      <c r="L486" t="b">
        <v>0</v>
      </c>
      <c r="M486">
        <v>0.6</v>
      </c>
      <c r="N486" s="1">
        <v>0.6</v>
      </c>
      <c r="O486" t="s">
        <v>1020</v>
      </c>
      <c r="P486" t="s">
        <v>1038</v>
      </c>
      <c r="Q486">
        <v>5</v>
      </c>
      <c r="R486">
        <v>1</v>
      </c>
    </row>
    <row r="487" spans="1:18" x14ac:dyDescent="0.25">
      <c r="A487" t="s">
        <v>992</v>
      </c>
      <c r="B487" t="s">
        <v>991</v>
      </c>
      <c r="C487" t="s">
        <v>41</v>
      </c>
      <c r="D487">
        <v>40</v>
      </c>
      <c r="E487" t="s">
        <v>1039</v>
      </c>
      <c r="F487" t="s">
        <v>1040</v>
      </c>
      <c r="G487" t="s">
        <v>1050</v>
      </c>
      <c r="H487">
        <v>12</v>
      </c>
      <c r="I487">
        <v>75</v>
      </c>
      <c r="J487" s="6">
        <v>75</v>
      </c>
      <c r="K487">
        <v>2.6</v>
      </c>
      <c r="L487" t="b">
        <v>0</v>
      </c>
      <c r="N487" s="1">
        <v>0.78</v>
      </c>
      <c r="O487" t="s">
        <v>1041</v>
      </c>
      <c r="P487" t="s">
        <v>1021</v>
      </c>
      <c r="Q487">
        <v>13</v>
      </c>
      <c r="R487">
        <v>13</v>
      </c>
    </row>
    <row r="488" spans="1:18" x14ac:dyDescent="0.25">
      <c r="A488" t="s">
        <v>618</v>
      </c>
      <c r="B488" t="s">
        <v>993</v>
      </c>
      <c r="C488" t="s">
        <v>18</v>
      </c>
      <c r="D488">
        <v>48</v>
      </c>
      <c r="E488" t="s">
        <v>1056</v>
      </c>
      <c r="F488" t="s">
        <v>1057</v>
      </c>
      <c r="G488" t="s">
        <v>1019</v>
      </c>
      <c r="H488">
        <v>13</v>
      </c>
      <c r="I488" t="s">
        <v>174</v>
      </c>
      <c r="J488" s="6">
        <v>100</v>
      </c>
      <c r="K488">
        <v>2.7</v>
      </c>
      <c r="L488" t="b">
        <v>0</v>
      </c>
      <c r="M488">
        <v>0.62</v>
      </c>
      <c r="N488" s="1">
        <v>0.62</v>
      </c>
      <c r="O488" t="s">
        <v>1041</v>
      </c>
      <c r="P488" t="s">
        <v>1028</v>
      </c>
      <c r="Q488">
        <v>8</v>
      </c>
      <c r="R488">
        <v>4</v>
      </c>
    </row>
    <row r="489" spans="1:18" x14ac:dyDescent="0.25">
      <c r="A489" t="s">
        <v>995</v>
      </c>
      <c r="B489" t="s">
        <v>994</v>
      </c>
      <c r="C489" t="s">
        <v>18</v>
      </c>
      <c r="D489">
        <v>24</v>
      </c>
      <c r="E489" t="s">
        <v>1063</v>
      </c>
      <c r="F489" t="s">
        <v>1064</v>
      </c>
      <c r="G489" t="s">
        <v>1024</v>
      </c>
      <c r="H489">
        <v>6</v>
      </c>
      <c r="I489">
        <v>30</v>
      </c>
      <c r="J489" s="6">
        <v>30</v>
      </c>
      <c r="K489">
        <v>1.1000000000000001</v>
      </c>
      <c r="L489" t="b">
        <v>1</v>
      </c>
      <c r="N489" s="1">
        <v>0.78</v>
      </c>
      <c r="O489" t="s">
        <v>1020</v>
      </c>
      <c r="P489" t="s">
        <v>1021</v>
      </c>
      <c r="Q489">
        <v>9</v>
      </c>
      <c r="R489">
        <v>9</v>
      </c>
    </row>
    <row r="490" spans="1:18" x14ac:dyDescent="0.25">
      <c r="A490" t="s">
        <v>997</v>
      </c>
      <c r="B490" t="s">
        <v>996</v>
      </c>
      <c r="C490" t="s">
        <v>41</v>
      </c>
      <c r="D490">
        <v>33</v>
      </c>
      <c r="E490" t="s">
        <v>1035</v>
      </c>
      <c r="F490" t="s">
        <v>1036</v>
      </c>
      <c r="G490" t="s">
        <v>1029</v>
      </c>
      <c r="H490">
        <v>10</v>
      </c>
      <c r="I490" t="s">
        <v>71</v>
      </c>
      <c r="J490" s="6">
        <v>30</v>
      </c>
      <c r="K490">
        <v>0</v>
      </c>
      <c r="L490" t="b">
        <v>1</v>
      </c>
      <c r="M490">
        <v>0.89</v>
      </c>
      <c r="N490" s="1">
        <v>0.89</v>
      </c>
      <c r="O490" t="s">
        <v>1034</v>
      </c>
      <c r="P490" t="s">
        <v>1021</v>
      </c>
      <c r="Q490">
        <v>11</v>
      </c>
      <c r="R490">
        <v>10</v>
      </c>
    </row>
    <row r="491" spans="1:18" x14ac:dyDescent="0.25">
      <c r="A491" t="s">
        <v>999</v>
      </c>
      <c r="B491" t="s">
        <v>998</v>
      </c>
      <c r="C491" t="s">
        <v>18</v>
      </c>
      <c r="D491">
        <v>43</v>
      </c>
      <c r="E491" t="s">
        <v>1053</v>
      </c>
      <c r="F491" t="s">
        <v>1054</v>
      </c>
      <c r="G491" t="s">
        <v>1045</v>
      </c>
      <c r="H491">
        <v>2</v>
      </c>
      <c r="I491" t="s">
        <v>24</v>
      </c>
      <c r="J491" s="6">
        <v>40</v>
      </c>
      <c r="K491">
        <v>0</v>
      </c>
      <c r="L491" t="b">
        <v>1</v>
      </c>
      <c r="M491">
        <v>0.89</v>
      </c>
      <c r="N491" s="1">
        <v>0.89</v>
      </c>
      <c r="O491" t="s">
        <v>1020</v>
      </c>
      <c r="P491" t="s">
        <v>1021</v>
      </c>
      <c r="Q491">
        <v>5</v>
      </c>
      <c r="R491">
        <v>1</v>
      </c>
    </row>
    <row r="492" spans="1:18" x14ac:dyDescent="0.25">
      <c r="A492" t="s">
        <v>1001</v>
      </c>
      <c r="B492" t="s">
        <v>1000</v>
      </c>
      <c r="C492" t="s">
        <v>41</v>
      </c>
      <c r="D492">
        <v>43</v>
      </c>
      <c r="E492" t="s">
        <v>1068</v>
      </c>
      <c r="F492" t="s">
        <v>1044</v>
      </c>
      <c r="G492" t="s">
        <v>1019</v>
      </c>
      <c r="H492">
        <v>4</v>
      </c>
      <c r="I492">
        <v>50</v>
      </c>
      <c r="J492" s="6">
        <v>50</v>
      </c>
      <c r="K492">
        <v>0</v>
      </c>
      <c r="L492" t="b">
        <v>1</v>
      </c>
      <c r="M492">
        <v>1</v>
      </c>
      <c r="N492" s="1">
        <v>1</v>
      </c>
      <c r="O492" t="s">
        <v>1034</v>
      </c>
      <c r="P492" t="s">
        <v>1025</v>
      </c>
      <c r="Q492">
        <v>2</v>
      </c>
      <c r="R492">
        <v>1</v>
      </c>
    </row>
    <row r="493" spans="1:18" x14ac:dyDescent="0.25">
      <c r="A493" t="s">
        <v>1003</v>
      </c>
      <c r="B493" t="s">
        <v>1002</v>
      </c>
      <c r="C493" t="s">
        <v>18</v>
      </c>
      <c r="D493">
        <v>33</v>
      </c>
      <c r="E493" t="s">
        <v>1022</v>
      </c>
      <c r="F493" t="s">
        <v>1023</v>
      </c>
      <c r="G493" t="s">
        <v>1029</v>
      </c>
      <c r="H493">
        <v>11</v>
      </c>
      <c r="J493" s="6">
        <v>70</v>
      </c>
      <c r="K493">
        <v>4.5999999999999996</v>
      </c>
      <c r="L493" t="b">
        <v>1</v>
      </c>
      <c r="N493" s="1">
        <v>0.78</v>
      </c>
      <c r="O493" t="s">
        <v>1042</v>
      </c>
      <c r="P493" t="s">
        <v>1028</v>
      </c>
      <c r="Q493">
        <v>15</v>
      </c>
      <c r="R493">
        <v>2</v>
      </c>
    </row>
    <row r="494" spans="1:18" x14ac:dyDescent="0.25">
      <c r="A494" t="s">
        <v>1005</v>
      </c>
      <c r="B494" t="s">
        <v>1004</v>
      </c>
      <c r="C494" t="s">
        <v>18</v>
      </c>
      <c r="D494">
        <v>49</v>
      </c>
      <c r="E494" t="s">
        <v>1056</v>
      </c>
      <c r="F494" t="s">
        <v>1057</v>
      </c>
      <c r="G494" t="s">
        <v>1045</v>
      </c>
      <c r="H494">
        <v>14</v>
      </c>
      <c r="I494">
        <v>40</v>
      </c>
      <c r="J494" s="6">
        <v>40</v>
      </c>
      <c r="K494">
        <v>1.5</v>
      </c>
      <c r="L494" t="b">
        <v>0</v>
      </c>
      <c r="M494">
        <v>0.6</v>
      </c>
      <c r="N494" s="1">
        <v>0.6</v>
      </c>
      <c r="O494" t="s">
        <v>1034</v>
      </c>
      <c r="P494" t="s">
        <v>1038</v>
      </c>
      <c r="Q494">
        <v>15</v>
      </c>
      <c r="R494">
        <v>10</v>
      </c>
    </row>
    <row r="495" spans="1:18" x14ac:dyDescent="0.25">
      <c r="A495" t="s">
        <v>1007</v>
      </c>
      <c r="B495" t="s">
        <v>1006</v>
      </c>
      <c r="C495" t="s">
        <v>41</v>
      </c>
      <c r="D495">
        <v>55</v>
      </c>
      <c r="E495" t="s">
        <v>1058</v>
      </c>
      <c r="F495" t="s">
        <v>1023</v>
      </c>
      <c r="G495" t="s">
        <v>1045</v>
      </c>
      <c r="H495">
        <v>10</v>
      </c>
      <c r="I495">
        <v>40</v>
      </c>
      <c r="J495" s="6">
        <v>40</v>
      </c>
      <c r="K495">
        <v>2</v>
      </c>
      <c r="L495" t="b">
        <v>0</v>
      </c>
      <c r="M495">
        <v>0.85</v>
      </c>
      <c r="N495" s="1">
        <v>0.85</v>
      </c>
      <c r="O495" t="s">
        <v>1034</v>
      </c>
      <c r="P495" t="s">
        <v>1028</v>
      </c>
      <c r="Q495">
        <v>7</v>
      </c>
      <c r="R495">
        <v>6</v>
      </c>
    </row>
    <row r="496" spans="1:18" x14ac:dyDescent="0.25">
      <c r="A496" t="s">
        <v>1009</v>
      </c>
      <c r="B496" t="s">
        <v>1008</v>
      </c>
      <c r="C496" t="s">
        <v>18</v>
      </c>
      <c r="D496">
        <v>33</v>
      </c>
      <c r="E496" t="s">
        <v>1047</v>
      </c>
      <c r="F496" t="s">
        <v>1055</v>
      </c>
      <c r="G496" t="s">
        <v>1027</v>
      </c>
      <c r="H496">
        <v>3</v>
      </c>
      <c r="I496" t="s">
        <v>24</v>
      </c>
      <c r="J496" s="6">
        <v>40</v>
      </c>
      <c r="K496">
        <v>1.6</v>
      </c>
      <c r="L496" t="b">
        <v>0</v>
      </c>
      <c r="M496">
        <v>0.83</v>
      </c>
      <c r="N496" s="1">
        <v>0.83</v>
      </c>
      <c r="O496" t="s">
        <v>1042</v>
      </c>
      <c r="P496" t="s">
        <v>1038</v>
      </c>
      <c r="Q496">
        <v>4</v>
      </c>
      <c r="R496">
        <v>2</v>
      </c>
    </row>
    <row r="497" spans="1:18" x14ac:dyDescent="0.25">
      <c r="A497" t="s">
        <v>1011</v>
      </c>
      <c r="B497" t="s">
        <v>1010</v>
      </c>
      <c r="C497" t="s">
        <v>41</v>
      </c>
      <c r="D497">
        <v>32</v>
      </c>
      <c r="E497" t="s">
        <v>1043</v>
      </c>
      <c r="F497" t="s">
        <v>1044</v>
      </c>
      <c r="G497" t="s">
        <v>28</v>
      </c>
      <c r="H497">
        <v>3</v>
      </c>
      <c r="I497" t="s">
        <v>29</v>
      </c>
      <c r="J497" s="6">
        <v>30</v>
      </c>
      <c r="K497">
        <v>1.5</v>
      </c>
      <c r="L497" t="b">
        <v>0</v>
      </c>
      <c r="M497">
        <v>0.96</v>
      </c>
      <c r="N497" s="1">
        <v>0.96</v>
      </c>
      <c r="O497" t="s">
        <v>1034</v>
      </c>
      <c r="P497" t="s">
        <v>1025</v>
      </c>
      <c r="Q497">
        <v>5</v>
      </c>
      <c r="R497">
        <v>1</v>
      </c>
    </row>
    <row r="498" spans="1:18" x14ac:dyDescent="0.25">
      <c r="A498" t="s">
        <v>1013</v>
      </c>
      <c r="B498" t="s">
        <v>1012</v>
      </c>
      <c r="C498" t="s">
        <v>41</v>
      </c>
      <c r="D498">
        <v>58</v>
      </c>
      <c r="E498" t="s">
        <v>1032</v>
      </c>
      <c r="F498" t="s">
        <v>1033</v>
      </c>
      <c r="G498" t="s">
        <v>1019</v>
      </c>
      <c r="H498">
        <v>33</v>
      </c>
      <c r="J498" s="6">
        <v>70</v>
      </c>
      <c r="K498">
        <v>4.0999999999999996</v>
      </c>
      <c r="L498" t="b">
        <v>1</v>
      </c>
      <c r="M498">
        <v>0.83</v>
      </c>
      <c r="N498" s="1">
        <v>0.83</v>
      </c>
      <c r="O498" t="s">
        <v>1020</v>
      </c>
      <c r="P498" t="s">
        <v>1025</v>
      </c>
      <c r="Q498">
        <v>19</v>
      </c>
      <c r="R498">
        <v>3</v>
      </c>
    </row>
    <row r="499" spans="1:18" x14ac:dyDescent="0.25">
      <c r="A499" t="s">
        <v>1076</v>
      </c>
      <c r="B499" t="s">
        <v>1014</v>
      </c>
      <c r="C499" t="s">
        <v>41</v>
      </c>
      <c r="D499">
        <v>49</v>
      </c>
      <c r="E499" t="s">
        <v>1035</v>
      </c>
      <c r="F499" t="s">
        <v>1036</v>
      </c>
      <c r="G499" t="s">
        <v>1037</v>
      </c>
      <c r="H499">
        <v>24</v>
      </c>
      <c r="I499">
        <v>100</v>
      </c>
      <c r="J499" s="6">
        <v>100</v>
      </c>
      <c r="K499">
        <v>4.7</v>
      </c>
      <c r="L499" t="b">
        <v>0</v>
      </c>
      <c r="M499">
        <v>0.6</v>
      </c>
      <c r="N499" s="1">
        <v>0.6</v>
      </c>
      <c r="O499" t="s">
        <v>1034</v>
      </c>
      <c r="P499" t="s">
        <v>1025</v>
      </c>
      <c r="Q499">
        <v>20</v>
      </c>
      <c r="R499">
        <v>3</v>
      </c>
    </row>
    <row r="500" spans="1:18" x14ac:dyDescent="0.25">
      <c r="A500" t="s">
        <v>1016</v>
      </c>
      <c r="B500" t="s">
        <v>1015</v>
      </c>
      <c r="C500" t="s">
        <v>18</v>
      </c>
      <c r="D500">
        <v>22</v>
      </c>
      <c r="E500" t="s">
        <v>1056</v>
      </c>
      <c r="F500" t="s">
        <v>1057</v>
      </c>
      <c r="G500" t="s">
        <v>1045</v>
      </c>
      <c r="H500">
        <v>3</v>
      </c>
      <c r="I500" t="s">
        <v>19</v>
      </c>
      <c r="J500" s="6">
        <v>100</v>
      </c>
      <c r="K500">
        <v>3.6</v>
      </c>
      <c r="L500" t="b">
        <v>1</v>
      </c>
      <c r="M500">
        <v>0.78</v>
      </c>
      <c r="N500" s="1">
        <v>0.78</v>
      </c>
      <c r="O500" t="s">
        <v>1042</v>
      </c>
      <c r="P500" t="s">
        <v>1025</v>
      </c>
      <c r="Q500">
        <v>3</v>
      </c>
      <c r="R500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0866-AD7C-4ABD-AD86-340D76550A32}">
  <dimension ref="A1:N500"/>
  <sheetViews>
    <sheetView tabSelected="1" workbookViewId="0">
      <selection activeCell="N14" sqref="N14"/>
    </sheetView>
  </sheetViews>
  <sheetFormatPr defaultRowHeight="15" x14ac:dyDescent="0.25"/>
  <cols>
    <col min="1" max="1" width="23" bestFit="1" customWidth="1"/>
    <col min="2" max="2" width="15.5703125" bestFit="1" customWidth="1"/>
    <col min="5" max="5" width="14" bestFit="1" customWidth="1"/>
    <col min="6" max="6" width="12.5703125" bestFit="1" customWidth="1"/>
    <col min="7" max="7" width="26.5703125" bestFit="1" customWidth="1"/>
  </cols>
  <sheetData>
    <row r="1" spans="1:14" x14ac:dyDescent="0.25">
      <c r="A1" s="3" t="s">
        <v>1080</v>
      </c>
      <c r="B1" s="3" t="s">
        <v>1081</v>
      </c>
      <c r="C1" s="3" t="s">
        <v>1082</v>
      </c>
      <c r="D1" s="3" t="s">
        <v>1083</v>
      </c>
      <c r="E1" s="3" t="s">
        <v>1084</v>
      </c>
      <c r="F1" s="3" t="s">
        <v>1085</v>
      </c>
      <c r="G1" s="3" t="s">
        <v>1086</v>
      </c>
      <c r="H1" s="3" t="s">
        <v>1087</v>
      </c>
      <c r="I1" s="3" t="s">
        <v>1088</v>
      </c>
      <c r="J1" s="3" t="s">
        <v>1089</v>
      </c>
    </row>
    <row r="2" spans="1:14" x14ac:dyDescent="0.25">
      <c r="A2" s="2" t="s">
        <v>15</v>
      </c>
      <c r="B2" s="3" t="str">
        <f>VLOOKUP(A2,DAY_8[],2,0)</f>
        <v>FL250001</v>
      </c>
      <c r="C2" t="str">
        <f>VLOOKUP(A2,DAY_8[],3,0)</f>
        <v>FEMALE</v>
      </c>
      <c r="D2">
        <f>VLOOKUP(A2,DAY_8[],4,0)</f>
        <v>52</v>
      </c>
      <c r="E2" t="str">
        <f>VLOOKUP(A2,DAY_8[],5,0)</f>
        <v>ITALY</v>
      </c>
      <c r="F2" s="5" t="str">
        <f>VLOOKUP(A2,DAY_8[],6,0)</f>
        <v>ITALIAN</v>
      </c>
      <c r="G2" s="5" t="str">
        <f>VLOOKUP(A2,DAY_8[],7,0)</f>
        <v>BLOCKCHAIN DEVELOPMENT</v>
      </c>
      <c r="H2" s="5">
        <f>VLOOKUP(A2,DAY_8[],8,0)</f>
        <v>11</v>
      </c>
      <c r="I2" s="5">
        <f>VLOOKUP(A2,DAY_8[],10,0)</f>
        <v>100</v>
      </c>
      <c r="J2" s="5">
        <f>VLOOKUP(A2,DAY_8[],11,0)</f>
        <v>2.4</v>
      </c>
    </row>
    <row r="3" spans="1:14" x14ac:dyDescent="0.25">
      <c r="A3" s="2" t="s">
        <v>17</v>
      </c>
      <c r="B3" s="2" t="str">
        <f>VLOOKUP(A3,DAY_8[],2,0)</f>
        <v>FL250002</v>
      </c>
      <c r="C3" t="str">
        <f>VLOOKUP(A3,DAY_8[],3,0)</f>
        <v>FEMALE</v>
      </c>
      <c r="D3">
        <f>VLOOKUP(A3,DAY_8[],4,0)</f>
        <v>52</v>
      </c>
      <c r="E3" t="str">
        <f>VLOOKUP(A3,DAY_8[],5,0)</f>
        <v>AUSTRALIA</v>
      </c>
      <c r="F3" s="5" t="str">
        <f>VLOOKUP(A3,DAY_8[],6,0)</f>
        <v>ENGLISH</v>
      </c>
      <c r="G3" s="5" t="str">
        <f>VLOOKUP(A3,DAY_8[],7,0)</f>
        <v>MOBILE APPS</v>
      </c>
      <c r="H3" s="5">
        <f>VLOOKUP(A3,DAY_8[],8,0)</f>
        <v>34</v>
      </c>
      <c r="I3" s="5">
        <f>VLOOKUP(A3,DAY_8[],10,0)</f>
        <v>100</v>
      </c>
      <c r="J3" s="5">
        <f>VLOOKUP(A3,DAY_8[],11,0)</f>
        <v>3.3</v>
      </c>
    </row>
    <row r="4" spans="1:14" x14ac:dyDescent="0.25">
      <c r="A4" s="2" t="s">
        <v>21</v>
      </c>
      <c r="B4" s="2" t="str">
        <f>VLOOKUP(A4,DAY_8[],2,0)</f>
        <v>FL250003</v>
      </c>
      <c r="C4" t="str">
        <f>VLOOKUP(A4,DAY_8[],3,0)</f>
        <v>MALE</v>
      </c>
      <c r="D4">
        <f>VLOOKUP(A4,DAY_8[],4,0)</f>
        <v>53</v>
      </c>
      <c r="E4" t="str">
        <f>VLOOKUP(A4,DAY_8[],5,0)</f>
        <v>GERMANY</v>
      </c>
      <c r="F4" s="5" t="str">
        <f>VLOOKUP(A4,DAY_8[],6,0)</f>
        <v>GERMANY</v>
      </c>
      <c r="G4" s="5" t="str">
        <f>VLOOKUP(A4,DAY_8[],7,0)</f>
        <v>GRAPHIC DESIGN</v>
      </c>
      <c r="H4" s="5">
        <f>VLOOKUP(A4,DAY_8[],8,0)</f>
        <v>31</v>
      </c>
      <c r="I4" s="5">
        <f>VLOOKUP(A4,DAY_8[],10,0)</f>
        <v>50</v>
      </c>
      <c r="J4" s="5">
        <f>VLOOKUP(A4,DAY_8[],11,0)</f>
        <v>0</v>
      </c>
    </row>
    <row r="5" spans="1:14" x14ac:dyDescent="0.25">
      <c r="A5" s="2" t="s">
        <v>23</v>
      </c>
      <c r="B5" s="2" t="str">
        <f>VLOOKUP(A5,DAY_8[],2,0)</f>
        <v>FL250004</v>
      </c>
      <c r="C5" t="str">
        <f>VLOOKUP(A5,DAY_8[],3,0)</f>
        <v>FEMALE</v>
      </c>
      <c r="D5">
        <f>VLOOKUP(A5,DAY_8[],4,0)</f>
        <v>38</v>
      </c>
      <c r="E5" t="str">
        <f>VLOOKUP(A5,DAY_8[],5,0)</f>
        <v>AUSTRALIA</v>
      </c>
      <c r="F5" s="5" t="str">
        <f>VLOOKUP(A5,DAY_8[],6,0)</f>
        <v>ENGLISH</v>
      </c>
      <c r="G5" s="5" t="str">
        <f>VLOOKUP(A5,DAY_8[],7,0)</f>
        <v>WEB DEVELOPMENT</v>
      </c>
      <c r="H5" s="5">
        <f>VLOOKUP(A5,DAY_8[],8,0)</f>
        <v>4</v>
      </c>
      <c r="I5" s="5">
        <f>VLOOKUP(A5,DAY_8[],10,0)</f>
        <v>40</v>
      </c>
      <c r="J5" s="5">
        <f>VLOOKUP(A5,DAY_8[],11,0)</f>
        <v>1.5</v>
      </c>
    </row>
    <row r="6" spans="1:14" ht="18" x14ac:dyDescent="0.25">
      <c r="A6" s="2" t="s">
        <v>1030</v>
      </c>
      <c r="B6" s="2" t="str">
        <f>VLOOKUP(A6,DAY_8[],2,0)</f>
        <v>FL250005</v>
      </c>
      <c r="C6" t="str">
        <f>VLOOKUP(A6,DAY_8[],3,0)</f>
        <v>FEMALE</v>
      </c>
      <c r="D6">
        <f>VLOOKUP(A6,DAY_8[],4,0)</f>
        <v>53</v>
      </c>
      <c r="E6" t="str">
        <f>VLOOKUP(A6,DAY_8[],5,0)</f>
        <v>GERMANY</v>
      </c>
      <c r="F6" s="5" t="str">
        <f>VLOOKUP(A6,DAY_8[],6,0)</f>
        <v>GERMANY</v>
      </c>
      <c r="G6" s="5" t="str">
        <f>VLOOKUP(A6,DAY_8[],7,0)</f>
        <v>MACHINE LEARNING</v>
      </c>
      <c r="H6" s="5">
        <f>VLOOKUP(A6,DAY_8[],8,0)</f>
        <v>27</v>
      </c>
      <c r="I6" s="5">
        <f>VLOOKUP(A6,DAY_8[],10,0)</f>
        <v>30</v>
      </c>
      <c r="J6" s="5">
        <f>VLOOKUP(A6,DAY_8[],11,0)</f>
        <v>4.8</v>
      </c>
      <c r="N6" s="7" t="s">
        <v>1100</v>
      </c>
    </row>
    <row r="7" spans="1:14" x14ac:dyDescent="0.25">
      <c r="A7" s="2" t="s">
        <v>27</v>
      </c>
      <c r="B7" s="2" t="str">
        <f>VLOOKUP(A7,DAY_8[],2,0)</f>
        <v>FL250006</v>
      </c>
      <c r="C7" t="str">
        <f>VLOOKUP(A7,DAY_8[],3,0)</f>
        <v>FEMALE</v>
      </c>
      <c r="D7">
        <f>VLOOKUP(A7,DAY_8[],4,0)</f>
        <v>59</v>
      </c>
      <c r="E7" t="str">
        <f>VLOOKUP(A7,DAY_8[],5,0)</f>
        <v>NETHERLANDS</v>
      </c>
      <c r="F7" s="5" t="str">
        <f>VLOOKUP(A7,DAY_8[],6,0)</f>
        <v>DUTCH</v>
      </c>
      <c r="G7" s="5" t="str">
        <f>VLOOKUP(A7,DAY_8[],7,0)</f>
        <v>AI</v>
      </c>
      <c r="H7" s="5">
        <f>VLOOKUP(A7,DAY_8[],8,0)</f>
        <v>14</v>
      </c>
      <c r="I7" s="5">
        <f>VLOOKUP(A7,DAY_8[],10,0)</f>
        <v>30</v>
      </c>
      <c r="J7" s="5">
        <f>VLOOKUP(A7,DAY_8[],11,0)</f>
        <v>2.4</v>
      </c>
      <c r="N7" s="8"/>
    </row>
    <row r="8" spans="1:14" x14ac:dyDescent="0.25">
      <c r="A8" s="2" t="s">
        <v>31</v>
      </c>
      <c r="B8" s="2" t="str">
        <f>VLOOKUP(A8,DAY_8[],2,0)</f>
        <v>FL250007</v>
      </c>
      <c r="C8" t="str">
        <f>VLOOKUP(A8,DAY_8[],3,0)</f>
        <v>MALE</v>
      </c>
      <c r="D8">
        <f>VLOOKUP(A8,DAY_8[],4,0)</f>
        <v>52</v>
      </c>
      <c r="E8" t="str">
        <f>VLOOKUP(A8,DAY_8[],5,0)</f>
        <v>INDONESIA</v>
      </c>
      <c r="F8" s="5" t="str">
        <f>VLOOKUP(A8,DAY_8[],6,0)</f>
        <v>INDONESIAN</v>
      </c>
      <c r="G8" s="5" t="str">
        <f>VLOOKUP(A8,DAY_8[],7,0)</f>
        <v>DATA ANALYSIS</v>
      </c>
      <c r="H8" s="5">
        <f>VLOOKUP(A8,DAY_8[],8,0)</f>
        <v>10</v>
      </c>
      <c r="I8" s="5">
        <f>VLOOKUP(A8,DAY_8[],10,0)</f>
        <v>75</v>
      </c>
      <c r="J8" s="5">
        <f>VLOOKUP(A8,DAY_8[],11,0)</f>
        <v>3.1</v>
      </c>
      <c r="N8" s="8" t="s">
        <v>1090</v>
      </c>
    </row>
    <row r="9" spans="1:14" x14ac:dyDescent="0.25">
      <c r="A9" s="2" t="s">
        <v>34</v>
      </c>
      <c r="B9" s="2" t="str">
        <f>VLOOKUP(A9,DAY_8[],2,0)</f>
        <v>FL250008</v>
      </c>
      <c r="C9" t="str">
        <f>VLOOKUP(A9,DAY_8[],3,0)</f>
        <v>MALE</v>
      </c>
      <c r="D9">
        <f>VLOOKUP(A9,DAY_8[],4,0)</f>
        <v>43</v>
      </c>
      <c r="E9" t="str">
        <f>VLOOKUP(A9,DAY_8[],5,0)</f>
        <v>ITALY</v>
      </c>
      <c r="F9" s="5" t="str">
        <f>VLOOKUP(A9,DAY_8[],6,0)</f>
        <v>ITALIAN</v>
      </c>
      <c r="G9" s="5" t="str">
        <f>VLOOKUP(A9,DAY_8[],7,0)</f>
        <v>BLOCKCHAIN DEVELOPMENT</v>
      </c>
      <c r="H9" s="5">
        <f>VLOOKUP(A9,DAY_8[],8,0)</f>
        <v>14</v>
      </c>
      <c r="I9" s="5">
        <f>VLOOKUP(A9,DAY_8[],10,0)</f>
        <v>40</v>
      </c>
      <c r="J9" s="5">
        <f>VLOOKUP(A9,DAY_8[],11,0)</f>
        <v>4.5999999999999996</v>
      </c>
      <c r="N9" s="8" t="s">
        <v>1091</v>
      </c>
    </row>
    <row r="10" spans="1:14" x14ac:dyDescent="0.25">
      <c r="A10" s="2" t="s">
        <v>37</v>
      </c>
      <c r="B10" s="2" t="str">
        <f>VLOOKUP(A10,DAY_8[],2,0)</f>
        <v>FL250009</v>
      </c>
      <c r="C10" t="str">
        <f>VLOOKUP(A10,DAY_8[],3,0)</f>
        <v>MALE</v>
      </c>
      <c r="D10">
        <f>VLOOKUP(A10,DAY_8[],4,0)</f>
        <v>26</v>
      </c>
      <c r="E10" t="str">
        <f>VLOOKUP(A10,DAY_8[],5,0)</f>
        <v>US</v>
      </c>
      <c r="F10" s="5" t="str">
        <f>VLOOKUP(A10,DAY_8[],6,0)</f>
        <v>ENGLISH</v>
      </c>
      <c r="G10" s="5" t="str">
        <f>VLOOKUP(A10,DAY_8[],7,0)</f>
        <v>BLOCKCHAIN DEVELOPMENT</v>
      </c>
      <c r="H10" s="5">
        <f>VLOOKUP(A10,DAY_8[],8,0)</f>
        <v>4</v>
      </c>
      <c r="I10" s="5">
        <f>VLOOKUP(A10,DAY_8[],10,0)</f>
        <v>70</v>
      </c>
      <c r="J10" s="5">
        <f>VLOOKUP(A10,DAY_8[],11,0)</f>
        <v>4</v>
      </c>
      <c r="N10" s="8" t="s">
        <v>1092</v>
      </c>
    </row>
    <row r="11" spans="1:14" x14ac:dyDescent="0.25">
      <c r="A11" s="2" t="s">
        <v>40</v>
      </c>
      <c r="B11" s="2" t="str">
        <f>VLOOKUP(A11,DAY_8[],2,0)</f>
        <v>FL250010</v>
      </c>
      <c r="C11" t="str">
        <f>VLOOKUP(A11,DAY_8[],3,0)</f>
        <v>MALE</v>
      </c>
      <c r="D11">
        <f>VLOOKUP(A11,DAY_8[],4,0)</f>
        <v>52</v>
      </c>
      <c r="E11" t="str">
        <f>VLOOKUP(A11,DAY_8[],5,0)</f>
        <v>TURKEY</v>
      </c>
      <c r="F11" s="5" t="str">
        <f>VLOOKUP(A11,DAY_8[],6,0)</f>
        <v>TURKISH</v>
      </c>
      <c r="G11" s="5" t="str">
        <f>VLOOKUP(A11,DAY_8[],7,0)</f>
        <v>AI</v>
      </c>
      <c r="H11" s="5">
        <f>VLOOKUP(A11,DAY_8[],8,0)</f>
        <v>22</v>
      </c>
      <c r="I11" s="5">
        <f>VLOOKUP(A11,DAY_8[],10,0)</f>
        <v>50</v>
      </c>
      <c r="J11" s="5">
        <f>VLOOKUP(A11,DAY_8[],11,0)</f>
        <v>2.4</v>
      </c>
      <c r="N11" s="8" t="s">
        <v>1093</v>
      </c>
    </row>
    <row r="12" spans="1:14" x14ac:dyDescent="0.25">
      <c r="A12" s="2" t="s">
        <v>44</v>
      </c>
      <c r="B12" s="2" t="str">
        <f>VLOOKUP(A12,DAY_8[],2,0)</f>
        <v>FL250011</v>
      </c>
      <c r="C12" t="str">
        <f>VLOOKUP(A12,DAY_8[],3,0)</f>
        <v>MALE</v>
      </c>
      <c r="D12">
        <f>VLOOKUP(A12,DAY_8[],4,0)</f>
        <v>40</v>
      </c>
      <c r="E12" t="str">
        <f>VLOOKUP(A12,DAY_8[],5,0)</f>
        <v>UK</v>
      </c>
      <c r="F12" s="5" t="str">
        <f>VLOOKUP(A12,DAY_8[],6,0)</f>
        <v>ENGLISH</v>
      </c>
      <c r="G12" s="5" t="str">
        <f>VLOOKUP(A12,DAY_8[],7,0)</f>
        <v>DATA ANALYSIS</v>
      </c>
      <c r="H12" s="5">
        <f>VLOOKUP(A12,DAY_8[],8,0)</f>
        <v>17</v>
      </c>
      <c r="I12" s="5">
        <f>VLOOKUP(A12,DAY_8[],10,0)</f>
        <v>40</v>
      </c>
      <c r="J12" s="5">
        <f>VLOOKUP(A12,DAY_8[],11,0)</f>
        <v>3.6</v>
      </c>
      <c r="N12" s="8" t="s">
        <v>1094</v>
      </c>
    </row>
    <row r="13" spans="1:14" x14ac:dyDescent="0.25">
      <c r="A13" s="2" t="s">
        <v>47</v>
      </c>
      <c r="B13" s="2" t="str">
        <f>VLOOKUP(A13,DAY_8[],2,0)</f>
        <v>FL250012</v>
      </c>
      <c r="C13" t="str">
        <f>VLOOKUP(A13,DAY_8[],3,0)</f>
        <v>FEMALE</v>
      </c>
      <c r="D13">
        <f>VLOOKUP(A13,DAY_8[],4,0)</f>
        <v>55</v>
      </c>
      <c r="E13" t="str">
        <f>VLOOKUP(A13,DAY_8[],5,0)</f>
        <v>ARGENTINA</v>
      </c>
      <c r="F13" s="5" t="str">
        <f>VLOOKUP(A13,DAY_8[],6,0)</f>
        <v>SPANISH</v>
      </c>
      <c r="G13" s="5" t="str">
        <f>VLOOKUP(A13,DAY_8[],7,0)</f>
        <v>UI/UX DESIGN</v>
      </c>
      <c r="H13" s="5">
        <f>VLOOKUP(A13,DAY_8[],8,0)</f>
        <v>15</v>
      </c>
      <c r="I13" s="5">
        <f>VLOOKUP(A13,DAY_8[],10,0)</f>
        <v>70</v>
      </c>
      <c r="J13" s="5">
        <f>VLOOKUP(A13,DAY_8[],11,0)</f>
        <v>2.4</v>
      </c>
    </row>
    <row r="14" spans="1:14" ht="18" x14ac:dyDescent="0.25">
      <c r="A14" s="2" t="s">
        <v>49</v>
      </c>
      <c r="B14" s="2" t="str">
        <f>VLOOKUP(A14,DAY_8[],2,0)</f>
        <v>FL250013</v>
      </c>
      <c r="C14" t="str">
        <f>VLOOKUP(A14,DAY_8[],3,0)</f>
        <v>FEMALE</v>
      </c>
      <c r="D14">
        <f>VLOOKUP(A14,DAY_8[],4,0)</f>
        <v>57</v>
      </c>
      <c r="E14" t="str">
        <f>VLOOKUP(A14,DAY_8[],5,0)</f>
        <v>UK</v>
      </c>
      <c r="F14" s="5" t="str">
        <f>VLOOKUP(A14,DAY_8[],6,0)</f>
        <v>ENGLISH</v>
      </c>
      <c r="G14" s="5" t="str">
        <f>VLOOKUP(A14,DAY_8[],7,0)</f>
        <v>CYBERSECURITY</v>
      </c>
      <c r="H14" s="5">
        <f>VLOOKUP(A14,DAY_8[],8,0)</f>
        <v>18</v>
      </c>
      <c r="I14" s="5">
        <f>VLOOKUP(A14,DAY_8[],10,0)</f>
        <v>70</v>
      </c>
      <c r="J14" s="5">
        <f>VLOOKUP(A14,DAY_8[],11,0)</f>
        <v>2</v>
      </c>
      <c r="N14" s="7" t="s">
        <v>1101</v>
      </c>
    </row>
    <row r="15" spans="1:14" x14ac:dyDescent="0.25">
      <c r="A15" s="2" t="s">
        <v>51</v>
      </c>
      <c r="B15" s="2" t="str">
        <f>VLOOKUP(A15,DAY_8[],2,0)</f>
        <v>FL250014</v>
      </c>
      <c r="C15" t="str">
        <f>VLOOKUP(A15,DAY_8[],3,0)</f>
        <v>MALE</v>
      </c>
      <c r="D15">
        <f>VLOOKUP(A15,DAY_8[],4,0)</f>
        <v>38</v>
      </c>
      <c r="E15" t="str">
        <f>VLOOKUP(A15,DAY_8[],5,0)</f>
        <v>SOUTH KOREA</v>
      </c>
      <c r="F15" s="5" t="str">
        <f>VLOOKUP(A15,DAY_8[],6,0)</f>
        <v>SPANISH</v>
      </c>
      <c r="G15" s="5" t="str">
        <f>VLOOKUP(A15,DAY_8[],7,0)</f>
        <v>GRAPHIC DESIGN</v>
      </c>
      <c r="H15" s="5">
        <f>VLOOKUP(A15,DAY_8[],8,0)</f>
        <v>20</v>
      </c>
      <c r="I15" s="5">
        <f>VLOOKUP(A15,DAY_8[],10,0)</f>
        <v>75</v>
      </c>
      <c r="J15" s="5">
        <f>VLOOKUP(A15,DAY_8[],11,0)</f>
        <v>2.9</v>
      </c>
      <c r="N15" s="8"/>
    </row>
    <row r="16" spans="1:14" x14ac:dyDescent="0.25">
      <c r="A16" s="2" t="s">
        <v>53</v>
      </c>
      <c r="B16" s="2" t="str">
        <f>VLOOKUP(A16,DAY_8[],2,0)</f>
        <v>FL250015</v>
      </c>
      <c r="C16" t="str">
        <f>VLOOKUP(A16,DAY_8[],3,0)</f>
        <v>MALE</v>
      </c>
      <c r="D16">
        <f>VLOOKUP(A16,DAY_8[],4,0)</f>
        <v>50</v>
      </c>
      <c r="E16" t="str">
        <f>VLOOKUP(A16,DAY_8[],5,0)</f>
        <v>GERMANY</v>
      </c>
      <c r="F16" s="5" t="str">
        <f>VLOOKUP(A16,DAY_8[],6,0)</f>
        <v>GERMANY</v>
      </c>
      <c r="G16" s="5" t="str">
        <f>VLOOKUP(A16,DAY_8[],7,0)</f>
        <v>DATA ANALYSIS</v>
      </c>
      <c r="H16" s="5">
        <f>VLOOKUP(A16,DAY_8[],8,0)</f>
        <v>22</v>
      </c>
      <c r="I16" s="5">
        <f>VLOOKUP(A16,DAY_8[],10,0)</f>
        <v>75</v>
      </c>
      <c r="J16" s="5">
        <f>VLOOKUP(A16,DAY_8[],11,0)</f>
        <v>3.7</v>
      </c>
      <c r="N16" s="8" t="s">
        <v>1095</v>
      </c>
    </row>
    <row r="17" spans="1:14" x14ac:dyDescent="0.25">
      <c r="A17" s="2" t="s">
        <v>55</v>
      </c>
      <c r="B17" s="2" t="str">
        <f>VLOOKUP(A17,DAY_8[],2,0)</f>
        <v>FL250016</v>
      </c>
      <c r="C17" t="str">
        <f>VLOOKUP(A17,DAY_8[],3,0)</f>
        <v>MALE</v>
      </c>
      <c r="D17">
        <f>VLOOKUP(A17,DAY_8[],4,0)</f>
        <v>42</v>
      </c>
      <c r="E17" t="str">
        <f>VLOOKUP(A17,DAY_8[],5,0)</f>
        <v>JAPAN</v>
      </c>
      <c r="F17" s="5" t="str">
        <f>VLOOKUP(A17,DAY_8[],6,0)</f>
        <v>JAPANESE</v>
      </c>
      <c r="G17" s="5" t="str">
        <f>VLOOKUP(A17,DAY_8[],7,0)</f>
        <v>MACHINE LEARNING</v>
      </c>
      <c r="H17" s="5">
        <f>VLOOKUP(A17,DAY_8[],8,0)</f>
        <v>0</v>
      </c>
      <c r="I17" s="5">
        <f>VLOOKUP(A17,DAY_8[],10,0)</f>
        <v>30</v>
      </c>
      <c r="J17" s="5">
        <f>VLOOKUP(A17,DAY_8[],11,0)</f>
        <v>1.2</v>
      </c>
      <c r="N17" s="8" t="s">
        <v>1096</v>
      </c>
    </row>
    <row r="18" spans="1:14" x14ac:dyDescent="0.25">
      <c r="A18" s="2" t="s">
        <v>57</v>
      </c>
      <c r="B18" s="2" t="str">
        <f>VLOOKUP(A18,DAY_8[],2,0)</f>
        <v>FL250017</v>
      </c>
      <c r="C18" t="str">
        <f>VLOOKUP(A18,DAY_8[],3,0)</f>
        <v>FEMALE</v>
      </c>
      <c r="D18">
        <f>VLOOKUP(A18,DAY_8[],4,0)</f>
        <v>39</v>
      </c>
      <c r="E18" t="str">
        <f>VLOOKUP(A18,DAY_8[],5,0)</f>
        <v>AUSTRALIA</v>
      </c>
      <c r="F18" s="5" t="str">
        <f>VLOOKUP(A18,DAY_8[],6,0)</f>
        <v>ENGLISH</v>
      </c>
      <c r="G18" s="5" t="str">
        <f>VLOOKUP(A18,DAY_8[],7,0)</f>
        <v>DEVOPS</v>
      </c>
      <c r="H18" s="5">
        <f>VLOOKUP(A18,DAY_8[],8,0)</f>
        <v>13</v>
      </c>
      <c r="I18" s="5">
        <f>VLOOKUP(A18,DAY_8[],10,0)</f>
        <v>30</v>
      </c>
      <c r="J18" s="5">
        <f>VLOOKUP(A18,DAY_8[],11,0)</f>
        <v>2.4</v>
      </c>
      <c r="N18" s="8" t="s">
        <v>1097</v>
      </c>
    </row>
    <row r="19" spans="1:14" x14ac:dyDescent="0.25">
      <c r="A19" s="2" t="s">
        <v>59</v>
      </c>
      <c r="B19" s="2" t="str">
        <f>VLOOKUP(A19,DAY_8[],2,0)</f>
        <v>FL250018</v>
      </c>
      <c r="C19" t="str">
        <f>VLOOKUP(A19,DAY_8[],3,0)</f>
        <v>MALE</v>
      </c>
      <c r="D19">
        <f>VLOOKUP(A19,DAY_8[],4,0)</f>
        <v>56</v>
      </c>
      <c r="E19" t="str">
        <f>VLOOKUP(A19,DAY_8[],5,0)</f>
        <v>INDIA</v>
      </c>
      <c r="F19" s="5" t="str">
        <f>VLOOKUP(A19,DAY_8[],6,0)</f>
        <v>HINDI</v>
      </c>
      <c r="G19" s="5" t="str">
        <f>VLOOKUP(A19,DAY_8[],7,0)</f>
        <v>BLOCKCHAIN DEVELOPMENT</v>
      </c>
      <c r="H19" s="5">
        <f>VLOOKUP(A19,DAY_8[],8,0)</f>
        <v>10</v>
      </c>
      <c r="I19" s="5">
        <f>VLOOKUP(A19,DAY_8[],10,0)</f>
        <v>70</v>
      </c>
      <c r="J19" s="5">
        <f>VLOOKUP(A19,DAY_8[],11,0)</f>
        <v>2.4</v>
      </c>
      <c r="N19" s="8" t="s">
        <v>1098</v>
      </c>
    </row>
    <row r="20" spans="1:14" x14ac:dyDescent="0.25">
      <c r="A20" s="2" t="s">
        <v>61</v>
      </c>
      <c r="B20" s="2" t="str">
        <f>VLOOKUP(A20,DAY_8[],2,0)</f>
        <v>FL250019</v>
      </c>
      <c r="C20" t="str">
        <f>VLOOKUP(A20,DAY_8[],3,0)</f>
        <v>MALE</v>
      </c>
      <c r="D20">
        <f>VLOOKUP(A20,DAY_8[],4,0)</f>
        <v>56</v>
      </c>
      <c r="E20" t="str">
        <f>VLOOKUP(A20,DAY_8[],5,0)</f>
        <v>US</v>
      </c>
      <c r="F20" s="5" t="str">
        <f>VLOOKUP(A20,DAY_8[],6,0)</f>
        <v>ENGLISH</v>
      </c>
      <c r="G20" s="5" t="str">
        <f>VLOOKUP(A20,DAY_8[],7,0)</f>
        <v>UI/UX DESIGN</v>
      </c>
      <c r="H20" s="5">
        <f>VLOOKUP(A20,DAY_8[],8,0)</f>
        <v>31</v>
      </c>
      <c r="I20" s="5">
        <f>VLOOKUP(A20,DAY_8[],10,0)</f>
        <v>50</v>
      </c>
      <c r="J20" s="5">
        <f>VLOOKUP(A20,DAY_8[],11,0)</f>
        <v>1.1000000000000001</v>
      </c>
      <c r="N20" s="8" t="s">
        <v>1099</v>
      </c>
    </row>
    <row r="21" spans="1:14" x14ac:dyDescent="0.25">
      <c r="A21" s="2" t="s">
        <v>64</v>
      </c>
      <c r="B21" s="2" t="str">
        <f>VLOOKUP(A21,DAY_8[],2,0)</f>
        <v>FL250020</v>
      </c>
      <c r="C21" t="str">
        <f>VLOOKUP(A21,DAY_8[],3,0)</f>
        <v>MALE</v>
      </c>
      <c r="D21">
        <f>VLOOKUP(A21,DAY_8[],4,0)</f>
        <v>57</v>
      </c>
      <c r="E21" t="str">
        <f>VLOOKUP(A21,DAY_8[],5,0)</f>
        <v>ITALY</v>
      </c>
      <c r="F21" s="5" t="str">
        <f>VLOOKUP(A21,DAY_8[],6,0)</f>
        <v>ITALIAN</v>
      </c>
      <c r="G21" s="5" t="str">
        <f>VLOOKUP(A21,DAY_8[],7,0)</f>
        <v>WEB DEVELOPMENT</v>
      </c>
      <c r="H21" s="5">
        <f>VLOOKUP(A21,DAY_8[],8,0)</f>
        <v>3</v>
      </c>
      <c r="I21" s="5">
        <f>VLOOKUP(A21,DAY_8[],10,0)</f>
        <v>100</v>
      </c>
      <c r="J21" s="5">
        <f>VLOOKUP(A21,DAY_8[],11,0)</f>
        <v>1.8</v>
      </c>
    </row>
    <row r="22" spans="1:14" x14ac:dyDescent="0.25">
      <c r="A22" s="2" t="s">
        <v>66</v>
      </c>
      <c r="B22" s="2" t="str">
        <f>VLOOKUP(A22,DAY_8[],2,0)</f>
        <v>FL250021</v>
      </c>
      <c r="C22" t="str">
        <f>VLOOKUP(A22,DAY_8[],3,0)</f>
        <v>MALE</v>
      </c>
      <c r="D22">
        <f>VLOOKUP(A22,DAY_8[],4,0)</f>
        <v>41</v>
      </c>
      <c r="E22" t="str">
        <f>VLOOKUP(A22,DAY_8[],5,0)</f>
        <v>INDONESIA</v>
      </c>
      <c r="F22" s="5" t="str">
        <f>VLOOKUP(A22,DAY_8[],6,0)</f>
        <v>INDONESIAN</v>
      </c>
      <c r="G22" s="5" t="str">
        <f>VLOOKUP(A22,DAY_8[],7,0)</f>
        <v>AI</v>
      </c>
      <c r="H22" s="5">
        <f>VLOOKUP(A22,DAY_8[],8,0)</f>
        <v>9</v>
      </c>
      <c r="I22" s="5">
        <f>VLOOKUP(A22,DAY_8[],10,0)</f>
        <v>50</v>
      </c>
      <c r="J22" s="5">
        <f>VLOOKUP(A22,DAY_8[],11,0)</f>
        <v>1.8</v>
      </c>
    </row>
    <row r="23" spans="1:14" x14ac:dyDescent="0.25">
      <c r="A23" s="2" t="s">
        <v>68</v>
      </c>
      <c r="B23" s="2" t="str">
        <f>VLOOKUP(A23,DAY_8[],2,0)</f>
        <v>FL250022</v>
      </c>
      <c r="C23" t="str">
        <f>VLOOKUP(A23,DAY_8[],3,0)</f>
        <v>MALE</v>
      </c>
      <c r="D23">
        <f>VLOOKUP(A23,DAY_8[],4,0)</f>
        <v>51</v>
      </c>
      <c r="E23" t="str">
        <f>VLOOKUP(A23,DAY_8[],5,0)</f>
        <v>JAPAN</v>
      </c>
      <c r="F23" s="5" t="str">
        <f>VLOOKUP(A23,DAY_8[],6,0)</f>
        <v>JAPANESE</v>
      </c>
      <c r="G23" s="5" t="str">
        <f>VLOOKUP(A23,DAY_8[],7,0)</f>
        <v>DEVOPS</v>
      </c>
      <c r="H23" s="5">
        <f>VLOOKUP(A23,DAY_8[],8,0)</f>
        <v>10</v>
      </c>
      <c r="I23" s="5">
        <f>VLOOKUP(A23,DAY_8[],10,0)</f>
        <v>70</v>
      </c>
      <c r="J23" s="5">
        <f>VLOOKUP(A23,DAY_8[],11,0)</f>
        <v>2.4</v>
      </c>
    </row>
    <row r="24" spans="1:14" x14ac:dyDescent="0.25">
      <c r="A24" s="2" t="s">
        <v>70</v>
      </c>
      <c r="B24" s="2" t="str">
        <f>VLOOKUP(A24,DAY_8[],2,0)</f>
        <v>FL250023</v>
      </c>
      <c r="C24" t="str">
        <f>VLOOKUP(A24,DAY_8[],3,0)</f>
        <v>MALE</v>
      </c>
      <c r="D24">
        <f>VLOOKUP(A24,DAY_8[],4,0)</f>
        <v>51</v>
      </c>
      <c r="E24" t="str">
        <f>VLOOKUP(A24,DAY_8[],5,0)</f>
        <v>BRAZIL</v>
      </c>
      <c r="F24" s="5" t="str">
        <f>VLOOKUP(A24,DAY_8[],6,0)</f>
        <v>PORTUGUESE</v>
      </c>
      <c r="G24" s="5" t="str">
        <f>VLOOKUP(A24,DAY_8[],7,0)</f>
        <v>CYBERSECURITY</v>
      </c>
      <c r="H24" s="5">
        <f>VLOOKUP(A24,DAY_8[],8,0)</f>
        <v>21</v>
      </c>
      <c r="I24" s="5">
        <f>VLOOKUP(A24,DAY_8[],10,0)</f>
        <v>30</v>
      </c>
      <c r="J24" s="5">
        <f>VLOOKUP(A24,DAY_8[],11,0)</f>
        <v>4.7</v>
      </c>
    </row>
    <row r="25" spans="1:14" x14ac:dyDescent="0.25">
      <c r="A25" s="2" t="s">
        <v>73</v>
      </c>
      <c r="B25" s="2" t="str">
        <f>VLOOKUP(A25,DAY_8[],2,0)</f>
        <v>FL250024</v>
      </c>
      <c r="C25" t="str">
        <f>VLOOKUP(A25,DAY_8[],3,0)</f>
        <v>FEMALE</v>
      </c>
      <c r="D25">
        <f>VLOOKUP(A25,DAY_8[],4,0)</f>
        <v>51</v>
      </c>
      <c r="E25" t="str">
        <f>VLOOKUP(A25,DAY_8[],5,0)</f>
        <v>SOUTH KOREA</v>
      </c>
      <c r="F25" s="5" t="str">
        <f>VLOOKUP(A25,DAY_8[],6,0)</f>
        <v>KOREAN</v>
      </c>
      <c r="G25" s="5" t="str">
        <f>VLOOKUP(A25,DAY_8[],7,0)</f>
        <v>MACHINE LEARNING</v>
      </c>
      <c r="H25" s="5">
        <f>VLOOKUP(A25,DAY_8[],8,0)</f>
        <v>15</v>
      </c>
      <c r="I25" s="5">
        <f>VLOOKUP(A25,DAY_8[],10,0)</f>
        <v>50</v>
      </c>
      <c r="J25" s="5">
        <f>VLOOKUP(A25,DAY_8[],11,0)</f>
        <v>1.3</v>
      </c>
    </row>
    <row r="26" spans="1:14" x14ac:dyDescent="0.25">
      <c r="A26" s="2" t="s">
        <v>75</v>
      </c>
      <c r="B26" s="2" t="str">
        <f>VLOOKUP(A26,DAY_8[],2,0)</f>
        <v>FL250025</v>
      </c>
      <c r="C26" t="str">
        <f>VLOOKUP(A26,DAY_8[],3,0)</f>
        <v>FEMALE</v>
      </c>
      <c r="D26">
        <f>VLOOKUP(A26,DAY_8[],4,0)</f>
        <v>54</v>
      </c>
      <c r="E26" t="str">
        <f>VLOOKUP(A26,DAY_8[],5,0)</f>
        <v>INDONESIA</v>
      </c>
      <c r="F26" s="5" t="str">
        <f>VLOOKUP(A26,DAY_8[],6,0)</f>
        <v>INDONESIAN</v>
      </c>
      <c r="G26" s="5" t="str">
        <f>VLOOKUP(A26,DAY_8[],7,0)</f>
        <v>MACHINE LEARNING</v>
      </c>
      <c r="H26" s="5">
        <f>VLOOKUP(A26,DAY_8[],8,0)</f>
        <v>13</v>
      </c>
      <c r="I26" s="5">
        <f>VLOOKUP(A26,DAY_8[],10,0)</f>
        <v>75</v>
      </c>
      <c r="J26" s="5">
        <f>VLOOKUP(A26,DAY_8[],11,0)</f>
        <v>2.9</v>
      </c>
    </row>
    <row r="27" spans="1:14" x14ac:dyDescent="0.25">
      <c r="A27" s="2" t="s">
        <v>77</v>
      </c>
      <c r="B27" s="2" t="str">
        <f>VLOOKUP(A27,DAY_8[],2,0)</f>
        <v>FL250026</v>
      </c>
      <c r="C27" t="str">
        <f>VLOOKUP(A27,DAY_8[],3,0)</f>
        <v>FEMALE</v>
      </c>
      <c r="D27">
        <f>VLOOKUP(A27,DAY_8[],4,0)</f>
        <v>22</v>
      </c>
      <c r="E27" t="str">
        <f>VLOOKUP(A27,DAY_8[],5,0)</f>
        <v>SOUTH KOREA</v>
      </c>
      <c r="F27" s="5" t="str">
        <f>VLOOKUP(A27,DAY_8[],6,0)</f>
        <v>KOREAN</v>
      </c>
      <c r="G27" s="5" t="str">
        <f>VLOOKUP(A27,DAY_8[],7,0)</f>
        <v>DEVOPS</v>
      </c>
      <c r="H27" s="5">
        <f>VLOOKUP(A27,DAY_8[],8,0)</f>
        <v>0</v>
      </c>
      <c r="I27" s="5">
        <f>VLOOKUP(A27,DAY_8[],10,0)</f>
        <v>30</v>
      </c>
      <c r="J27" s="5">
        <f>VLOOKUP(A27,DAY_8[],11,0)</f>
        <v>1.2</v>
      </c>
    </row>
    <row r="28" spans="1:14" x14ac:dyDescent="0.25">
      <c r="A28" s="2" t="s">
        <v>79</v>
      </c>
      <c r="B28" s="2" t="str">
        <f>VLOOKUP(A28,DAY_8[],2,0)</f>
        <v>FL250027</v>
      </c>
      <c r="C28" t="str">
        <f>VLOOKUP(A28,DAY_8[],3,0)</f>
        <v>FEMALE</v>
      </c>
      <c r="D28">
        <f>VLOOKUP(A28,DAY_8[],4,0)</f>
        <v>34</v>
      </c>
      <c r="E28" t="str">
        <f>VLOOKUP(A28,DAY_8[],5,0)</f>
        <v>JAPAN</v>
      </c>
      <c r="F28" s="5" t="str">
        <f>VLOOKUP(A28,DAY_8[],6,0)</f>
        <v>JAPANESE</v>
      </c>
      <c r="G28" s="5" t="str">
        <f>VLOOKUP(A28,DAY_8[],7,0)</f>
        <v>BLOCKCHAIN DEVELOPMENT</v>
      </c>
      <c r="H28" s="5">
        <f>VLOOKUP(A28,DAY_8[],8,0)</f>
        <v>8</v>
      </c>
      <c r="I28" s="5">
        <f>VLOOKUP(A28,DAY_8[],10,0)</f>
        <v>20</v>
      </c>
      <c r="J28" s="5">
        <f>VLOOKUP(A28,DAY_8[],11,0)</f>
        <v>0</v>
      </c>
    </row>
    <row r="29" spans="1:14" x14ac:dyDescent="0.25">
      <c r="A29" s="2" t="s">
        <v>82</v>
      </c>
      <c r="B29" s="2" t="str">
        <f>VLOOKUP(A29,DAY_8[],2,0)</f>
        <v>FL250028</v>
      </c>
      <c r="C29" t="str">
        <f>VLOOKUP(A29,DAY_8[],3,0)</f>
        <v>FEMALE</v>
      </c>
      <c r="D29">
        <f>VLOOKUP(A29,DAY_8[],4,0)</f>
        <v>36</v>
      </c>
      <c r="E29" t="str">
        <f>VLOOKUP(A29,DAY_8[],5,0)</f>
        <v>RUSSIA</v>
      </c>
      <c r="F29" s="5" t="str">
        <f>VLOOKUP(A29,DAY_8[],6,0)</f>
        <v>RUSSIAN</v>
      </c>
      <c r="G29" s="5" t="str">
        <f>VLOOKUP(A29,DAY_8[],7,0)</f>
        <v>GRAPHIC DESIGN</v>
      </c>
      <c r="H29" s="5">
        <f>VLOOKUP(A29,DAY_8[],8,0)</f>
        <v>11</v>
      </c>
      <c r="I29" s="5">
        <f>VLOOKUP(A29,DAY_8[],10,0)</f>
        <v>70</v>
      </c>
      <c r="J29" s="5">
        <f>VLOOKUP(A29,DAY_8[],11,0)</f>
        <v>1.8</v>
      </c>
    </row>
    <row r="30" spans="1:14" x14ac:dyDescent="0.25">
      <c r="A30" s="2" t="s">
        <v>84</v>
      </c>
      <c r="B30" s="2" t="str">
        <f>VLOOKUP(A30,DAY_8[],2,0)</f>
        <v>FL250029</v>
      </c>
      <c r="C30" t="str">
        <f>VLOOKUP(A30,DAY_8[],3,0)</f>
        <v>FEMALE</v>
      </c>
      <c r="D30">
        <f>VLOOKUP(A30,DAY_8[],4,0)</f>
        <v>47</v>
      </c>
      <c r="E30" t="str">
        <f>VLOOKUP(A30,DAY_8[],5,0)</f>
        <v>CANADA</v>
      </c>
      <c r="F30" s="5" t="str">
        <f>VLOOKUP(A30,DAY_8[],6,0)</f>
        <v>ENGLISH</v>
      </c>
      <c r="G30" s="5" t="str">
        <f>VLOOKUP(A30,DAY_8[],7,0)</f>
        <v>AI</v>
      </c>
      <c r="H30" s="5">
        <f>VLOOKUP(A30,DAY_8[],8,0)</f>
        <v>22</v>
      </c>
      <c r="I30" s="5">
        <f>VLOOKUP(A30,DAY_8[],10,0)</f>
        <v>30</v>
      </c>
      <c r="J30" s="5">
        <f>VLOOKUP(A30,DAY_8[],11,0)</f>
        <v>1.3</v>
      </c>
    </row>
    <row r="31" spans="1:14" x14ac:dyDescent="0.25">
      <c r="A31" s="2" t="s">
        <v>86</v>
      </c>
      <c r="B31" s="2" t="str">
        <f>VLOOKUP(A31,DAY_8[],2,0)</f>
        <v>FL250030</v>
      </c>
      <c r="C31" t="str">
        <f>VLOOKUP(A31,DAY_8[],3,0)</f>
        <v>FEMALE</v>
      </c>
      <c r="D31">
        <f>VLOOKUP(A31,DAY_8[],4,0)</f>
        <v>41</v>
      </c>
      <c r="E31" t="str">
        <f>VLOOKUP(A31,DAY_8[],5,0)</f>
        <v>NETHERLANDS</v>
      </c>
      <c r="F31" s="5" t="str">
        <f>VLOOKUP(A31,DAY_8[],6,0)</f>
        <v>DUTCH</v>
      </c>
      <c r="G31" s="5" t="str">
        <f>VLOOKUP(A31,DAY_8[],7,0)</f>
        <v>DATA ANALYSIS</v>
      </c>
      <c r="H31" s="5">
        <f>VLOOKUP(A31,DAY_8[],8,0)</f>
        <v>14</v>
      </c>
      <c r="I31" s="5">
        <f>VLOOKUP(A31,DAY_8[],10,0)</f>
        <v>75</v>
      </c>
      <c r="J31" s="5">
        <f>VLOOKUP(A31,DAY_8[],11,0)</f>
        <v>1.2</v>
      </c>
    </row>
    <row r="32" spans="1:14" x14ac:dyDescent="0.25">
      <c r="A32" s="2" t="s">
        <v>88</v>
      </c>
      <c r="B32" s="2" t="str">
        <f>VLOOKUP(A32,DAY_8[],2,0)</f>
        <v>FL250031</v>
      </c>
      <c r="C32" t="str">
        <f>VLOOKUP(A32,DAY_8[],3,0)</f>
        <v>MALE</v>
      </c>
      <c r="D32">
        <f>VLOOKUP(A32,DAY_8[],4,0)</f>
        <v>22</v>
      </c>
      <c r="E32" t="str">
        <f>VLOOKUP(A32,DAY_8[],5,0)</f>
        <v>NETHERLANDS</v>
      </c>
      <c r="F32" s="5" t="str">
        <f>VLOOKUP(A32,DAY_8[],6,0)</f>
        <v>DUTCH</v>
      </c>
      <c r="G32" s="5" t="str">
        <f>VLOOKUP(A32,DAY_8[],7,0)</f>
        <v>DEVOPS</v>
      </c>
      <c r="H32" s="5">
        <f>VLOOKUP(A32,DAY_8[],8,0)</f>
        <v>4</v>
      </c>
      <c r="I32" s="5">
        <f>VLOOKUP(A32,DAY_8[],10,0)</f>
        <v>70</v>
      </c>
      <c r="J32" s="5">
        <f>VLOOKUP(A32,DAY_8[],11,0)</f>
        <v>1</v>
      </c>
    </row>
    <row r="33" spans="1:10" x14ac:dyDescent="0.25">
      <c r="A33" s="2" t="s">
        <v>90</v>
      </c>
      <c r="B33" s="2" t="str">
        <f>VLOOKUP(A33,DAY_8[],2,0)</f>
        <v>FL250032</v>
      </c>
      <c r="C33" t="str">
        <f>VLOOKUP(A33,DAY_8[],3,0)</f>
        <v>MALE</v>
      </c>
      <c r="D33">
        <f>VLOOKUP(A33,DAY_8[],4,0)</f>
        <v>38</v>
      </c>
      <c r="E33" t="str">
        <f>VLOOKUP(A33,DAY_8[],5,0)</f>
        <v>FRANCE</v>
      </c>
      <c r="F33" s="5" t="str">
        <f>VLOOKUP(A33,DAY_8[],6,0)</f>
        <v>FRENCH</v>
      </c>
      <c r="G33" s="5" t="str">
        <f>VLOOKUP(A33,DAY_8[],7,0)</f>
        <v>MACHINE LEARNING</v>
      </c>
      <c r="H33" s="5">
        <f>VLOOKUP(A33,DAY_8[],8,0)</f>
        <v>19</v>
      </c>
      <c r="I33" s="5">
        <f>VLOOKUP(A33,DAY_8[],10,0)</f>
        <v>100</v>
      </c>
      <c r="J33" s="5">
        <f>VLOOKUP(A33,DAY_8[],11,0)</f>
        <v>4.2</v>
      </c>
    </row>
    <row r="34" spans="1:10" x14ac:dyDescent="0.25">
      <c r="A34" s="2" t="s">
        <v>92</v>
      </c>
      <c r="B34" s="2" t="str">
        <f>VLOOKUP(A34,DAY_8[],2,0)</f>
        <v>FL250033</v>
      </c>
      <c r="C34" t="str">
        <f>VLOOKUP(A34,DAY_8[],3,0)</f>
        <v>MALE</v>
      </c>
      <c r="D34">
        <f>VLOOKUP(A34,DAY_8[],4,0)</f>
        <v>46</v>
      </c>
      <c r="E34" t="str">
        <f>VLOOKUP(A34,DAY_8[],5,0)</f>
        <v>EGYPT</v>
      </c>
      <c r="F34" s="5" t="str">
        <f>VLOOKUP(A34,DAY_8[],6,0)</f>
        <v>ARABIC</v>
      </c>
      <c r="G34" s="5" t="str">
        <f>VLOOKUP(A34,DAY_8[],7,0)</f>
        <v>AI</v>
      </c>
      <c r="H34" s="5">
        <f>VLOOKUP(A34,DAY_8[],8,0)</f>
        <v>9</v>
      </c>
      <c r="I34" s="5">
        <f>VLOOKUP(A34,DAY_8[],10,0)</f>
        <v>20</v>
      </c>
      <c r="J34" s="5">
        <f>VLOOKUP(A34,DAY_8[],11,0)</f>
        <v>1.4</v>
      </c>
    </row>
    <row r="35" spans="1:10" x14ac:dyDescent="0.25">
      <c r="A35" s="2" t="s">
        <v>94</v>
      </c>
      <c r="B35" s="2" t="str">
        <f>VLOOKUP(A35,DAY_8[],2,0)</f>
        <v>FL250034</v>
      </c>
      <c r="C35" t="str">
        <f>VLOOKUP(A35,DAY_8[],3,0)</f>
        <v>MALE</v>
      </c>
      <c r="D35">
        <f>VLOOKUP(A35,DAY_8[],4,0)</f>
        <v>41</v>
      </c>
      <c r="E35" t="str">
        <f>VLOOKUP(A35,DAY_8[],5,0)</f>
        <v>SOUTH KOREA</v>
      </c>
      <c r="F35" s="5" t="str">
        <f>VLOOKUP(A35,DAY_8[],6,0)</f>
        <v>KOREAN</v>
      </c>
      <c r="G35" s="5" t="str">
        <f>VLOOKUP(A35,DAY_8[],7,0)</f>
        <v>AI</v>
      </c>
      <c r="H35" s="5">
        <f>VLOOKUP(A35,DAY_8[],8,0)</f>
        <v>9</v>
      </c>
      <c r="I35" s="5">
        <f>VLOOKUP(A35,DAY_8[],10,0)</f>
        <v>40</v>
      </c>
      <c r="J35" s="5">
        <f>VLOOKUP(A35,DAY_8[],11,0)</f>
        <v>2.4</v>
      </c>
    </row>
    <row r="36" spans="1:10" x14ac:dyDescent="0.25">
      <c r="A36" s="2" t="s">
        <v>96</v>
      </c>
      <c r="B36" s="2" t="str">
        <f>VLOOKUP(A36,DAY_8[],2,0)</f>
        <v>FL250035</v>
      </c>
      <c r="C36" t="str">
        <f>VLOOKUP(A36,DAY_8[],3,0)</f>
        <v>FEMALE</v>
      </c>
      <c r="D36">
        <f>VLOOKUP(A36,DAY_8[],4,0)</f>
        <v>54</v>
      </c>
      <c r="E36" t="str">
        <f>VLOOKUP(A36,DAY_8[],5,0)</f>
        <v>US</v>
      </c>
      <c r="F36" s="5" t="str">
        <f>VLOOKUP(A36,DAY_8[],6,0)</f>
        <v>ENGLISH</v>
      </c>
      <c r="G36" s="5" t="str">
        <f>VLOOKUP(A36,DAY_8[],7,0)</f>
        <v>WEB DEVELOPMENT</v>
      </c>
      <c r="H36" s="5">
        <f>VLOOKUP(A36,DAY_8[],8,0)</f>
        <v>32</v>
      </c>
      <c r="I36" s="5">
        <f>VLOOKUP(A36,DAY_8[],10,0)</f>
        <v>75</v>
      </c>
      <c r="J36" s="5">
        <f>VLOOKUP(A36,DAY_8[],11,0)</f>
        <v>1</v>
      </c>
    </row>
    <row r="37" spans="1:10" x14ac:dyDescent="0.25">
      <c r="A37" s="2" t="s">
        <v>98</v>
      </c>
      <c r="B37" s="2" t="str">
        <f>VLOOKUP(A37,DAY_8[],2,0)</f>
        <v>FL250036</v>
      </c>
      <c r="C37" t="str">
        <f>VLOOKUP(A37,DAY_8[],3,0)</f>
        <v>FEMALE</v>
      </c>
      <c r="D37">
        <f>VLOOKUP(A37,DAY_8[],4,0)</f>
        <v>52</v>
      </c>
      <c r="E37" t="str">
        <f>VLOOKUP(A37,DAY_8[],5,0)</f>
        <v>SOUTH KOREA</v>
      </c>
      <c r="F37" s="5" t="str">
        <f>VLOOKUP(A37,DAY_8[],6,0)</f>
        <v>KOREAN</v>
      </c>
      <c r="G37" s="5" t="str">
        <f>VLOOKUP(A37,DAY_8[],7,0)</f>
        <v>MACHINE LEARNING</v>
      </c>
      <c r="H37" s="5">
        <f>VLOOKUP(A37,DAY_8[],8,0)</f>
        <v>28</v>
      </c>
      <c r="I37" s="5">
        <f>VLOOKUP(A37,DAY_8[],10,0)</f>
        <v>20</v>
      </c>
      <c r="J37" s="5">
        <f>VLOOKUP(A37,DAY_8[],11,0)</f>
        <v>2.4</v>
      </c>
    </row>
    <row r="38" spans="1:10" x14ac:dyDescent="0.25">
      <c r="A38" s="2" t="s">
        <v>100</v>
      </c>
      <c r="B38" s="2" t="str">
        <f>VLOOKUP(A38,DAY_8[],2,0)</f>
        <v>FL250037</v>
      </c>
      <c r="C38" t="str">
        <f>VLOOKUP(A38,DAY_8[],3,0)</f>
        <v>FEMALE</v>
      </c>
      <c r="D38">
        <f>VLOOKUP(A38,DAY_8[],4,0)</f>
        <v>42</v>
      </c>
      <c r="E38" t="str">
        <f>VLOOKUP(A38,DAY_8[],5,0)</f>
        <v>JAPAN</v>
      </c>
      <c r="F38" s="5" t="str">
        <f>VLOOKUP(A38,DAY_8[],6,0)</f>
        <v>JAPANESE</v>
      </c>
      <c r="G38" s="5" t="str">
        <f>VLOOKUP(A38,DAY_8[],7,0)</f>
        <v>MOBILE APPS</v>
      </c>
      <c r="H38" s="5">
        <f>VLOOKUP(A38,DAY_8[],8,0)</f>
        <v>6</v>
      </c>
      <c r="I38" s="5">
        <f>VLOOKUP(A38,DAY_8[],10,0)</f>
        <v>40</v>
      </c>
      <c r="J38" s="5">
        <f>VLOOKUP(A38,DAY_8[],11,0)</f>
        <v>2.4</v>
      </c>
    </row>
    <row r="39" spans="1:10" x14ac:dyDescent="0.25">
      <c r="A39" s="2" t="s">
        <v>102</v>
      </c>
      <c r="B39" s="2" t="str">
        <f>VLOOKUP(A39,DAY_8[],2,0)</f>
        <v>FL250038</v>
      </c>
      <c r="C39" t="str">
        <f>VLOOKUP(A39,DAY_8[],3,0)</f>
        <v>FEMALE</v>
      </c>
      <c r="D39">
        <f>VLOOKUP(A39,DAY_8[],4,0)</f>
        <v>29</v>
      </c>
      <c r="E39" t="str">
        <f>VLOOKUP(A39,DAY_8[],5,0)</f>
        <v>NETHERLANDS</v>
      </c>
      <c r="F39" s="5" t="str">
        <f>VLOOKUP(A39,DAY_8[],6,0)</f>
        <v>DUTCH</v>
      </c>
      <c r="G39" s="5" t="str">
        <f>VLOOKUP(A39,DAY_8[],7,0)</f>
        <v>GRAPHIC DESIGN</v>
      </c>
      <c r="H39" s="5">
        <f>VLOOKUP(A39,DAY_8[],8,0)</f>
        <v>10</v>
      </c>
      <c r="I39" s="5">
        <f>VLOOKUP(A39,DAY_8[],10,0)</f>
        <v>40</v>
      </c>
      <c r="J39" s="5">
        <f>VLOOKUP(A39,DAY_8[],11,0)</f>
        <v>2.2000000000000002</v>
      </c>
    </row>
    <row r="40" spans="1:10" x14ac:dyDescent="0.25">
      <c r="A40" s="2" t="s">
        <v>104</v>
      </c>
      <c r="B40" s="2" t="str">
        <f>VLOOKUP(A40,DAY_8[],2,0)</f>
        <v>FL250039</v>
      </c>
      <c r="C40" t="str">
        <f>VLOOKUP(A40,DAY_8[],3,0)</f>
        <v>FEMALE</v>
      </c>
      <c r="D40">
        <f>VLOOKUP(A40,DAY_8[],4,0)</f>
        <v>42</v>
      </c>
      <c r="E40" t="str">
        <f>VLOOKUP(A40,DAY_8[],5,0)</f>
        <v>SOUTH AFRICA</v>
      </c>
      <c r="F40" s="5" t="str">
        <f>VLOOKUP(A40,DAY_8[],6,0)</f>
        <v>AFRIKAANS</v>
      </c>
      <c r="G40" s="5" t="str">
        <f>VLOOKUP(A40,DAY_8[],7,0)</f>
        <v>MOBILE APPS</v>
      </c>
      <c r="H40" s="5">
        <f>VLOOKUP(A40,DAY_8[],8,0)</f>
        <v>23</v>
      </c>
      <c r="I40" s="5">
        <f>VLOOKUP(A40,DAY_8[],10,0)</f>
        <v>50</v>
      </c>
      <c r="J40" s="5">
        <f>VLOOKUP(A40,DAY_8[],11,0)</f>
        <v>3.2</v>
      </c>
    </row>
    <row r="41" spans="1:10" x14ac:dyDescent="0.25">
      <c r="A41" s="2" t="s">
        <v>106</v>
      </c>
      <c r="B41" s="2" t="str">
        <f>VLOOKUP(A41,DAY_8[],2,0)</f>
        <v>FL250040</v>
      </c>
      <c r="C41" t="str">
        <f>VLOOKUP(A41,DAY_8[],3,0)</f>
        <v>MALE</v>
      </c>
      <c r="D41">
        <f>VLOOKUP(A41,DAY_8[],4,0)</f>
        <v>60</v>
      </c>
      <c r="E41" t="str">
        <f>VLOOKUP(A41,DAY_8[],5,0)</f>
        <v>JAPAN</v>
      </c>
      <c r="F41" s="5" t="str">
        <f>VLOOKUP(A41,DAY_8[],6,0)</f>
        <v>JAPANESE</v>
      </c>
      <c r="G41" s="5" t="str">
        <f>VLOOKUP(A41,DAY_8[],7,0)</f>
        <v>WEB DEVELOPMENT</v>
      </c>
      <c r="H41" s="5">
        <f>VLOOKUP(A41,DAY_8[],8,0)</f>
        <v>13</v>
      </c>
      <c r="I41" s="5">
        <f>VLOOKUP(A41,DAY_8[],10,0)</f>
        <v>20</v>
      </c>
      <c r="J41" s="5">
        <f>VLOOKUP(A41,DAY_8[],11,0)</f>
        <v>3.6</v>
      </c>
    </row>
    <row r="42" spans="1:10" x14ac:dyDescent="0.25">
      <c r="A42" s="2" t="s">
        <v>108</v>
      </c>
      <c r="B42" s="2" t="str">
        <f>VLOOKUP(A42,DAY_8[],2,0)</f>
        <v>FL250041</v>
      </c>
      <c r="C42" t="str">
        <f>VLOOKUP(A42,DAY_8[],3,0)</f>
        <v>FEMALE</v>
      </c>
      <c r="D42">
        <f>VLOOKUP(A42,DAY_8[],4,0)</f>
        <v>59</v>
      </c>
      <c r="E42" t="str">
        <f>VLOOKUP(A42,DAY_8[],5,0)</f>
        <v>UK</v>
      </c>
      <c r="F42" s="5" t="str">
        <f>VLOOKUP(A42,DAY_8[],6,0)</f>
        <v>ENGLISH</v>
      </c>
      <c r="G42" s="5" t="str">
        <f>VLOOKUP(A42,DAY_8[],7,0)</f>
        <v>AI</v>
      </c>
      <c r="H42" s="5">
        <f>VLOOKUP(A42,DAY_8[],8,0)</f>
        <v>3</v>
      </c>
      <c r="I42" s="5">
        <f>VLOOKUP(A42,DAY_8[],10,0)</f>
        <v>50</v>
      </c>
      <c r="J42" s="5">
        <f>VLOOKUP(A42,DAY_8[],11,0)</f>
        <v>0</v>
      </c>
    </row>
    <row r="43" spans="1:10" x14ac:dyDescent="0.25">
      <c r="A43" s="2" t="s">
        <v>110</v>
      </c>
      <c r="B43" s="2" t="str">
        <f>VLOOKUP(A43,DAY_8[],2,0)</f>
        <v>FL250042</v>
      </c>
      <c r="C43" t="str">
        <f>VLOOKUP(A43,DAY_8[],3,0)</f>
        <v>FEMALE</v>
      </c>
      <c r="D43">
        <f>VLOOKUP(A43,DAY_8[],4,0)</f>
        <v>21</v>
      </c>
      <c r="E43" t="str">
        <f>VLOOKUP(A43,DAY_8[],5,0)</f>
        <v>CANADA</v>
      </c>
      <c r="F43" s="5" t="str">
        <f>VLOOKUP(A43,DAY_8[],6,0)</f>
        <v>ENGLISH</v>
      </c>
      <c r="G43" s="5" t="str">
        <f>VLOOKUP(A43,DAY_8[],7,0)</f>
        <v>WEB DEVELOPMENT</v>
      </c>
      <c r="H43" s="5">
        <f>VLOOKUP(A43,DAY_8[],8,0)</f>
        <v>0</v>
      </c>
      <c r="I43" s="5">
        <f>VLOOKUP(A43,DAY_8[],10,0)</f>
        <v>30</v>
      </c>
      <c r="J43" s="5">
        <f>VLOOKUP(A43,DAY_8[],11,0)</f>
        <v>2.7</v>
      </c>
    </row>
    <row r="44" spans="1:10" x14ac:dyDescent="0.25">
      <c r="A44" s="2" t="s">
        <v>112</v>
      </c>
      <c r="B44" s="2" t="str">
        <f>VLOOKUP(A44,DAY_8[],2,0)</f>
        <v>FL250043</v>
      </c>
      <c r="C44" t="str">
        <f>VLOOKUP(A44,DAY_8[],3,0)</f>
        <v>FEMALE</v>
      </c>
      <c r="D44">
        <f>VLOOKUP(A44,DAY_8[],4,0)</f>
        <v>35</v>
      </c>
      <c r="E44" t="str">
        <f>VLOOKUP(A44,DAY_8[],5,0)</f>
        <v>GERMANY</v>
      </c>
      <c r="F44" s="5" t="str">
        <f>VLOOKUP(A44,DAY_8[],6,0)</f>
        <v>GERMANY</v>
      </c>
      <c r="G44" s="5" t="str">
        <f>VLOOKUP(A44,DAY_8[],7,0)</f>
        <v>DEVOPS</v>
      </c>
      <c r="H44" s="5">
        <f>VLOOKUP(A44,DAY_8[],8,0)</f>
        <v>10</v>
      </c>
      <c r="I44" s="5">
        <f>VLOOKUP(A44,DAY_8[],10,0)</f>
        <v>50</v>
      </c>
      <c r="J44" s="5">
        <f>VLOOKUP(A44,DAY_8[],11,0)</f>
        <v>0</v>
      </c>
    </row>
    <row r="45" spans="1:10" x14ac:dyDescent="0.25">
      <c r="A45" s="2" t="s">
        <v>114</v>
      </c>
      <c r="B45" s="2" t="str">
        <f>VLOOKUP(A45,DAY_8[],2,0)</f>
        <v>FL250044</v>
      </c>
      <c r="C45" t="str">
        <f>VLOOKUP(A45,DAY_8[],3,0)</f>
        <v>MALE</v>
      </c>
      <c r="D45">
        <f>VLOOKUP(A45,DAY_8[],4,0)</f>
        <v>41</v>
      </c>
      <c r="E45" t="str">
        <f>VLOOKUP(A45,DAY_8[],5,0)</f>
        <v>UK</v>
      </c>
      <c r="F45" s="5" t="str">
        <f>VLOOKUP(A45,DAY_8[],6,0)</f>
        <v>ENGLISH</v>
      </c>
      <c r="G45" s="5" t="str">
        <f>VLOOKUP(A45,DAY_8[],7,0)</f>
        <v>DATA ANALYSIS</v>
      </c>
      <c r="H45" s="5">
        <f>VLOOKUP(A45,DAY_8[],8,0)</f>
        <v>10</v>
      </c>
      <c r="I45" s="5">
        <f>VLOOKUP(A45,DAY_8[],10,0)</f>
        <v>20</v>
      </c>
      <c r="J45" s="5">
        <f>VLOOKUP(A45,DAY_8[],11,0)</f>
        <v>2.8</v>
      </c>
    </row>
    <row r="46" spans="1:10" x14ac:dyDescent="0.25">
      <c r="A46" s="2" t="s">
        <v>116</v>
      </c>
      <c r="B46" s="2" t="str">
        <f>VLOOKUP(A46,DAY_8[],2,0)</f>
        <v>FL250045</v>
      </c>
      <c r="C46" t="str">
        <f>VLOOKUP(A46,DAY_8[],3,0)</f>
        <v>FEMALE</v>
      </c>
      <c r="D46">
        <f>VLOOKUP(A46,DAY_8[],4,0)</f>
        <v>51</v>
      </c>
      <c r="E46" t="str">
        <f>VLOOKUP(A46,DAY_8[],5,0)</f>
        <v>NETHERLANDS</v>
      </c>
      <c r="F46" s="5" t="str">
        <f>VLOOKUP(A46,DAY_8[],6,0)</f>
        <v>DUTCH</v>
      </c>
      <c r="G46" s="5" t="str">
        <f>VLOOKUP(A46,DAY_8[],7,0)</f>
        <v>MACHINE LEARNING</v>
      </c>
      <c r="H46" s="5">
        <f>VLOOKUP(A46,DAY_8[],8,0)</f>
        <v>23</v>
      </c>
      <c r="I46" s="5">
        <f>VLOOKUP(A46,DAY_8[],10,0)</f>
        <v>20</v>
      </c>
      <c r="J46" s="5">
        <f>VLOOKUP(A46,DAY_8[],11,0)</f>
        <v>2.4</v>
      </c>
    </row>
    <row r="47" spans="1:10" x14ac:dyDescent="0.25">
      <c r="A47" s="2" t="s">
        <v>118</v>
      </c>
      <c r="B47" s="2" t="str">
        <f>VLOOKUP(A47,DAY_8[],2,0)</f>
        <v>FL250046</v>
      </c>
      <c r="C47" t="str">
        <f>VLOOKUP(A47,DAY_8[],3,0)</f>
        <v>MALE</v>
      </c>
      <c r="D47">
        <f>VLOOKUP(A47,DAY_8[],4,0)</f>
        <v>41</v>
      </c>
      <c r="E47" t="str">
        <f>VLOOKUP(A47,DAY_8[],5,0)</f>
        <v>SOUTH AFRICA</v>
      </c>
      <c r="F47" s="5" t="str">
        <f>VLOOKUP(A47,DAY_8[],6,0)</f>
        <v>AFRIKAANS</v>
      </c>
      <c r="G47" s="5" t="str">
        <f>VLOOKUP(A47,DAY_8[],7,0)</f>
        <v>WEB DEVELOPMENT</v>
      </c>
      <c r="H47" s="5">
        <f>VLOOKUP(A47,DAY_8[],8,0)</f>
        <v>9</v>
      </c>
      <c r="I47" s="5">
        <f>VLOOKUP(A47,DAY_8[],10,0)</f>
        <v>75</v>
      </c>
      <c r="J47" s="5">
        <f>VLOOKUP(A47,DAY_8[],11,0)</f>
        <v>4.9000000000000004</v>
      </c>
    </row>
    <row r="48" spans="1:10" x14ac:dyDescent="0.25">
      <c r="A48" s="2" t="s">
        <v>121</v>
      </c>
      <c r="B48" s="2" t="str">
        <f>VLOOKUP(A48,DAY_8[],2,0)</f>
        <v>FL250047</v>
      </c>
      <c r="C48" t="str">
        <f>VLOOKUP(A48,DAY_8[],3,0)</f>
        <v>FEMALE</v>
      </c>
      <c r="D48">
        <f>VLOOKUP(A48,DAY_8[],4,0)</f>
        <v>47</v>
      </c>
      <c r="E48" t="str">
        <f>VLOOKUP(A48,DAY_8[],5,0)</f>
        <v>EGYPT</v>
      </c>
      <c r="F48" s="5" t="str">
        <f>VLOOKUP(A48,DAY_8[],6,0)</f>
        <v>ARABIC</v>
      </c>
      <c r="G48" s="5" t="str">
        <f>VLOOKUP(A48,DAY_8[],7,0)</f>
        <v>DEVOPS</v>
      </c>
      <c r="H48" s="5">
        <f>VLOOKUP(A48,DAY_8[],8,0)</f>
        <v>15</v>
      </c>
      <c r="I48" s="5">
        <f>VLOOKUP(A48,DAY_8[],10,0)</f>
        <v>30</v>
      </c>
      <c r="J48" s="5">
        <f>VLOOKUP(A48,DAY_8[],11,0)</f>
        <v>4.5</v>
      </c>
    </row>
    <row r="49" spans="1:10" x14ac:dyDescent="0.25">
      <c r="A49" s="2" t="s">
        <v>123</v>
      </c>
      <c r="B49" s="2" t="str">
        <f>VLOOKUP(A49,DAY_8[],2,0)</f>
        <v>FL250048</v>
      </c>
      <c r="C49" t="str">
        <f>VLOOKUP(A49,DAY_8[],3,0)</f>
        <v>MALE</v>
      </c>
      <c r="D49">
        <f>VLOOKUP(A49,DAY_8[],4,0)</f>
        <v>25</v>
      </c>
      <c r="E49" t="str">
        <f>VLOOKUP(A49,DAY_8[],5,0)</f>
        <v>CHINA</v>
      </c>
      <c r="F49" s="5" t="str">
        <f>VLOOKUP(A49,DAY_8[],6,0)</f>
        <v>MANDARIN</v>
      </c>
      <c r="G49" s="5" t="str">
        <f>VLOOKUP(A49,DAY_8[],7,0)</f>
        <v>GRAPHIC DESIGN</v>
      </c>
      <c r="H49" s="5">
        <f>VLOOKUP(A49,DAY_8[],8,0)</f>
        <v>4</v>
      </c>
      <c r="I49" s="5">
        <f>VLOOKUP(A49,DAY_8[],10,0)</f>
        <v>50</v>
      </c>
      <c r="J49" s="5">
        <f>VLOOKUP(A49,DAY_8[],11,0)</f>
        <v>2.7</v>
      </c>
    </row>
    <row r="50" spans="1:10" x14ac:dyDescent="0.25">
      <c r="A50" s="2" t="s">
        <v>125</v>
      </c>
      <c r="B50" s="2" t="str">
        <f>VLOOKUP(A50,DAY_8[],2,0)</f>
        <v>FL250049</v>
      </c>
      <c r="C50" t="str">
        <f>VLOOKUP(A50,DAY_8[],3,0)</f>
        <v>FEMALE</v>
      </c>
      <c r="D50">
        <f>VLOOKUP(A50,DAY_8[],4,0)</f>
        <v>25</v>
      </c>
      <c r="E50" t="str">
        <f>VLOOKUP(A50,DAY_8[],5,0)</f>
        <v>MEXICO</v>
      </c>
      <c r="F50" s="5" t="str">
        <f>VLOOKUP(A50,DAY_8[],6,0)</f>
        <v>SPANISH</v>
      </c>
      <c r="G50" s="5" t="str">
        <f>VLOOKUP(A50,DAY_8[],7,0)</f>
        <v>MOBILE APPS</v>
      </c>
      <c r="H50" s="5">
        <f>VLOOKUP(A50,DAY_8[],8,0)</f>
        <v>7</v>
      </c>
      <c r="I50" s="5">
        <f>VLOOKUP(A50,DAY_8[],10,0)</f>
        <v>20</v>
      </c>
      <c r="J50" s="5">
        <f>VLOOKUP(A50,DAY_8[],11,0)</f>
        <v>1.9</v>
      </c>
    </row>
    <row r="51" spans="1:10" x14ac:dyDescent="0.25">
      <c r="A51" s="2" t="s">
        <v>127</v>
      </c>
      <c r="B51" s="2" t="str">
        <f>VLOOKUP(A51,DAY_8[],2,0)</f>
        <v>FL250050</v>
      </c>
      <c r="C51" t="str">
        <f>VLOOKUP(A51,DAY_8[],3,0)</f>
        <v>MALE</v>
      </c>
      <c r="D51">
        <f>VLOOKUP(A51,DAY_8[],4,0)</f>
        <v>29</v>
      </c>
      <c r="E51" t="str">
        <f>VLOOKUP(A51,DAY_8[],5,0)</f>
        <v>SOUTH KOREA</v>
      </c>
      <c r="F51" s="5" t="str">
        <f>VLOOKUP(A51,DAY_8[],6,0)</f>
        <v>DUTCH</v>
      </c>
      <c r="G51" s="5" t="str">
        <f>VLOOKUP(A51,DAY_8[],7,0)</f>
        <v>UI/UX DESIGN</v>
      </c>
      <c r="H51" s="5">
        <f>VLOOKUP(A51,DAY_8[],8,0)</f>
        <v>1</v>
      </c>
      <c r="I51" s="5">
        <f>VLOOKUP(A51,DAY_8[],10,0)</f>
        <v>20</v>
      </c>
      <c r="J51" s="5">
        <f>VLOOKUP(A51,DAY_8[],11,0)</f>
        <v>1.4</v>
      </c>
    </row>
    <row r="52" spans="1:10" x14ac:dyDescent="0.25">
      <c r="A52" s="2" t="s">
        <v>129</v>
      </c>
      <c r="B52" s="2" t="str">
        <f>VLOOKUP(A52,DAY_8[],2,0)</f>
        <v>FL250051</v>
      </c>
      <c r="C52" t="str">
        <f>VLOOKUP(A52,DAY_8[],3,0)</f>
        <v>FEMALE</v>
      </c>
      <c r="D52">
        <f>VLOOKUP(A52,DAY_8[],4,0)</f>
        <v>23</v>
      </c>
      <c r="E52" t="str">
        <f>VLOOKUP(A52,DAY_8[],5,0)</f>
        <v>ARGENTINA</v>
      </c>
      <c r="F52" s="5" t="str">
        <f>VLOOKUP(A52,DAY_8[],6,0)</f>
        <v>SPANISH</v>
      </c>
      <c r="G52" s="5" t="str">
        <f>VLOOKUP(A52,DAY_8[],7,0)</f>
        <v>CYBERSECURITY</v>
      </c>
      <c r="H52" s="5">
        <f>VLOOKUP(A52,DAY_8[],8,0)</f>
        <v>0</v>
      </c>
      <c r="I52" s="5">
        <f>VLOOKUP(A52,DAY_8[],10,0)</f>
        <v>75</v>
      </c>
      <c r="J52" s="5">
        <f>VLOOKUP(A52,DAY_8[],11,0)</f>
        <v>1.9</v>
      </c>
    </row>
    <row r="53" spans="1:10" x14ac:dyDescent="0.25">
      <c r="A53" s="2" t="s">
        <v>131</v>
      </c>
      <c r="B53" s="2" t="str">
        <f>VLOOKUP(A53,DAY_8[],2,0)</f>
        <v>FL250052</v>
      </c>
      <c r="C53" t="str">
        <f>VLOOKUP(A53,DAY_8[],3,0)</f>
        <v>MALE</v>
      </c>
      <c r="D53">
        <f>VLOOKUP(A53,DAY_8[],4,0)</f>
        <v>31</v>
      </c>
      <c r="E53" t="str">
        <f>VLOOKUP(A53,DAY_8[],5,0)</f>
        <v>FRANCE</v>
      </c>
      <c r="F53" s="5" t="str">
        <f>VLOOKUP(A53,DAY_8[],6,0)</f>
        <v>FRENCH</v>
      </c>
      <c r="G53" s="5" t="str">
        <f>VLOOKUP(A53,DAY_8[],7,0)</f>
        <v>DATA ANALYSIS</v>
      </c>
      <c r="H53" s="5">
        <f>VLOOKUP(A53,DAY_8[],8,0)</f>
        <v>8</v>
      </c>
      <c r="I53" s="5">
        <f>VLOOKUP(A53,DAY_8[],10,0)</f>
        <v>50</v>
      </c>
      <c r="J53" s="5">
        <f>VLOOKUP(A53,DAY_8[],11,0)</f>
        <v>3.4</v>
      </c>
    </row>
    <row r="54" spans="1:10" x14ac:dyDescent="0.25">
      <c r="A54" s="2" t="s">
        <v>133</v>
      </c>
      <c r="B54" s="2" t="str">
        <f>VLOOKUP(A54,DAY_8[],2,0)</f>
        <v>FL250053</v>
      </c>
      <c r="C54" t="str">
        <f>VLOOKUP(A54,DAY_8[],3,0)</f>
        <v>MALE</v>
      </c>
      <c r="D54">
        <f>VLOOKUP(A54,DAY_8[],4,0)</f>
        <v>51</v>
      </c>
      <c r="E54" t="str">
        <f>VLOOKUP(A54,DAY_8[],5,0)</f>
        <v>GERMANY</v>
      </c>
      <c r="F54" s="5" t="str">
        <f>VLOOKUP(A54,DAY_8[],6,0)</f>
        <v>GERMANY</v>
      </c>
      <c r="G54" s="5" t="str">
        <f>VLOOKUP(A54,DAY_8[],7,0)</f>
        <v>MACHINE LEARNING</v>
      </c>
      <c r="H54" s="5">
        <f>VLOOKUP(A54,DAY_8[],8,0)</f>
        <v>33</v>
      </c>
      <c r="I54" s="5">
        <f>VLOOKUP(A54,DAY_8[],10,0)</f>
        <v>75</v>
      </c>
      <c r="J54" s="5">
        <f>VLOOKUP(A54,DAY_8[],11,0)</f>
        <v>3.3</v>
      </c>
    </row>
    <row r="55" spans="1:10" x14ac:dyDescent="0.25">
      <c r="A55" s="2" t="s">
        <v>135</v>
      </c>
      <c r="B55" s="2" t="str">
        <f>VLOOKUP(A55,DAY_8[],2,0)</f>
        <v>FL250054</v>
      </c>
      <c r="C55" t="str">
        <f>VLOOKUP(A55,DAY_8[],3,0)</f>
        <v>MALE</v>
      </c>
      <c r="D55">
        <f>VLOOKUP(A55,DAY_8[],4,0)</f>
        <v>41</v>
      </c>
      <c r="E55" t="str">
        <f>VLOOKUP(A55,DAY_8[],5,0)</f>
        <v>SPAIN</v>
      </c>
      <c r="F55" s="5" t="str">
        <f>VLOOKUP(A55,DAY_8[],6,0)</f>
        <v>SPANISH</v>
      </c>
      <c r="G55" s="5" t="str">
        <f>VLOOKUP(A55,DAY_8[],7,0)</f>
        <v>UI/UX DESIGN</v>
      </c>
      <c r="H55" s="5">
        <f>VLOOKUP(A55,DAY_8[],8,0)</f>
        <v>1</v>
      </c>
      <c r="I55" s="5">
        <f>VLOOKUP(A55,DAY_8[],10,0)</f>
        <v>30</v>
      </c>
      <c r="J55" s="5">
        <f>VLOOKUP(A55,DAY_8[],11,0)</f>
        <v>0</v>
      </c>
    </row>
    <row r="56" spans="1:10" x14ac:dyDescent="0.25">
      <c r="A56" s="2" t="s">
        <v>137</v>
      </c>
      <c r="B56" s="2" t="str">
        <f>VLOOKUP(A56,DAY_8[],2,0)</f>
        <v>FL250055</v>
      </c>
      <c r="C56" t="str">
        <f>VLOOKUP(A56,DAY_8[],3,0)</f>
        <v>FEMALE</v>
      </c>
      <c r="D56">
        <f>VLOOKUP(A56,DAY_8[],4,0)</f>
        <v>29</v>
      </c>
      <c r="E56" t="str">
        <f>VLOOKUP(A56,DAY_8[],5,0)</f>
        <v>TURKEY</v>
      </c>
      <c r="F56" s="5" t="str">
        <f>VLOOKUP(A56,DAY_8[],6,0)</f>
        <v>TURKISH</v>
      </c>
      <c r="G56" s="5" t="str">
        <f>VLOOKUP(A56,DAY_8[],7,0)</f>
        <v>CYBERSECURITY</v>
      </c>
      <c r="H56" s="5">
        <f>VLOOKUP(A56,DAY_8[],8,0)</f>
        <v>11</v>
      </c>
      <c r="I56" s="5">
        <f>VLOOKUP(A56,DAY_8[],10,0)</f>
        <v>100</v>
      </c>
      <c r="J56" s="5">
        <f>VLOOKUP(A56,DAY_8[],11,0)</f>
        <v>2.2999999999999998</v>
      </c>
    </row>
    <row r="57" spans="1:10" x14ac:dyDescent="0.25">
      <c r="A57" s="2" t="s">
        <v>139</v>
      </c>
      <c r="B57" s="2" t="str">
        <f>VLOOKUP(A57,DAY_8[],2,0)</f>
        <v>FL250056</v>
      </c>
      <c r="C57" t="str">
        <f>VLOOKUP(A57,DAY_8[],3,0)</f>
        <v>MALE</v>
      </c>
      <c r="D57">
        <f>VLOOKUP(A57,DAY_8[],4,0)</f>
        <v>50</v>
      </c>
      <c r="E57" t="str">
        <f>VLOOKUP(A57,DAY_8[],5,0)</f>
        <v>UK</v>
      </c>
      <c r="F57" s="5" t="str">
        <f>VLOOKUP(A57,DAY_8[],6,0)</f>
        <v>ENGLISH</v>
      </c>
      <c r="G57" s="5" t="str">
        <f>VLOOKUP(A57,DAY_8[],7,0)</f>
        <v>AI</v>
      </c>
      <c r="H57" s="5">
        <f>VLOOKUP(A57,DAY_8[],8,0)</f>
        <v>15</v>
      </c>
      <c r="I57" s="5">
        <f>VLOOKUP(A57,DAY_8[],10,0)</f>
        <v>70</v>
      </c>
      <c r="J57" s="5">
        <f>VLOOKUP(A57,DAY_8[],11,0)</f>
        <v>2</v>
      </c>
    </row>
    <row r="58" spans="1:10" x14ac:dyDescent="0.25">
      <c r="A58" s="2" t="s">
        <v>141</v>
      </c>
      <c r="B58" s="2" t="str">
        <f>VLOOKUP(A58,DAY_8[],2,0)</f>
        <v>FL250057</v>
      </c>
      <c r="C58" t="str">
        <f>VLOOKUP(A58,DAY_8[],3,0)</f>
        <v>FEMALE</v>
      </c>
      <c r="D58">
        <f>VLOOKUP(A58,DAY_8[],4,0)</f>
        <v>26</v>
      </c>
      <c r="E58" t="str">
        <f>VLOOKUP(A58,DAY_8[],5,0)</f>
        <v>UK</v>
      </c>
      <c r="F58" s="5" t="str">
        <f>VLOOKUP(A58,DAY_8[],6,0)</f>
        <v>ENGLISH</v>
      </c>
      <c r="G58" s="5" t="str">
        <f>VLOOKUP(A58,DAY_8[],7,0)</f>
        <v>DEVOPS</v>
      </c>
      <c r="H58" s="5">
        <f>VLOOKUP(A58,DAY_8[],8,0)</f>
        <v>8</v>
      </c>
      <c r="I58" s="5">
        <f>VLOOKUP(A58,DAY_8[],10,0)</f>
        <v>50</v>
      </c>
      <c r="J58" s="5">
        <f>VLOOKUP(A58,DAY_8[],11,0)</f>
        <v>1.3</v>
      </c>
    </row>
    <row r="59" spans="1:10" x14ac:dyDescent="0.25">
      <c r="A59" s="2" t="s">
        <v>143</v>
      </c>
      <c r="B59" s="2" t="str">
        <f>VLOOKUP(A59,DAY_8[],2,0)</f>
        <v>FL250058</v>
      </c>
      <c r="C59" t="str">
        <f>VLOOKUP(A59,DAY_8[],3,0)</f>
        <v>MALE</v>
      </c>
      <c r="D59">
        <f>VLOOKUP(A59,DAY_8[],4,0)</f>
        <v>38</v>
      </c>
      <c r="E59" t="str">
        <f>VLOOKUP(A59,DAY_8[],5,0)</f>
        <v>CANADA</v>
      </c>
      <c r="F59" s="5" t="str">
        <f>VLOOKUP(A59,DAY_8[],6,0)</f>
        <v>ENGLISH</v>
      </c>
      <c r="G59" s="5" t="str">
        <f>VLOOKUP(A59,DAY_8[],7,0)</f>
        <v>AI</v>
      </c>
      <c r="H59" s="5">
        <f>VLOOKUP(A59,DAY_8[],8,0)</f>
        <v>17</v>
      </c>
      <c r="I59" s="5">
        <f>VLOOKUP(A59,DAY_8[],10,0)</f>
        <v>40</v>
      </c>
      <c r="J59" s="5">
        <f>VLOOKUP(A59,DAY_8[],11,0)</f>
        <v>4</v>
      </c>
    </row>
    <row r="60" spans="1:10" x14ac:dyDescent="0.25">
      <c r="A60" s="2" t="s">
        <v>145</v>
      </c>
      <c r="B60" s="2" t="str">
        <f>VLOOKUP(A60,DAY_8[],2,0)</f>
        <v>FL250059</v>
      </c>
      <c r="C60" t="str">
        <f>VLOOKUP(A60,DAY_8[],3,0)</f>
        <v>FEMALE</v>
      </c>
      <c r="D60">
        <f>VLOOKUP(A60,DAY_8[],4,0)</f>
        <v>23</v>
      </c>
      <c r="E60" t="str">
        <f>VLOOKUP(A60,DAY_8[],5,0)</f>
        <v>INDIA</v>
      </c>
      <c r="F60" s="5" t="str">
        <f>VLOOKUP(A60,DAY_8[],6,0)</f>
        <v>HINDI</v>
      </c>
      <c r="G60" s="5" t="str">
        <f>VLOOKUP(A60,DAY_8[],7,0)</f>
        <v>MOBILE APPS</v>
      </c>
      <c r="H60" s="5">
        <f>VLOOKUP(A60,DAY_8[],8,0)</f>
        <v>10</v>
      </c>
      <c r="I60" s="5">
        <f>VLOOKUP(A60,DAY_8[],10,0)</f>
        <v>75</v>
      </c>
      <c r="J60" s="5">
        <f>VLOOKUP(A60,DAY_8[],11,0)</f>
        <v>3.6</v>
      </c>
    </row>
    <row r="61" spans="1:10" x14ac:dyDescent="0.25">
      <c r="A61" s="2" t="s">
        <v>147</v>
      </c>
      <c r="B61" s="2" t="str">
        <f>VLOOKUP(A61,DAY_8[],2,0)</f>
        <v>FL250060</v>
      </c>
      <c r="C61" t="str">
        <f>VLOOKUP(A61,DAY_8[],3,0)</f>
        <v>FEMALE</v>
      </c>
      <c r="D61">
        <f>VLOOKUP(A61,DAY_8[],4,0)</f>
        <v>51</v>
      </c>
      <c r="E61" t="str">
        <f>VLOOKUP(A61,DAY_8[],5,0)</f>
        <v>SOUTH AFRICA</v>
      </c>
      <c r="F61" s="5" t="str">
        <f>VLOOKUP(A61,DAY_8[],6,0)</f>
        <v>AFRIKAANS</v>
      </c>
      <c r="G61" s="5" t="str">
        <f>VLOOKUP(A61,DAY_8[],7,0)</f>
        <v>DEVOPS</v>
      </c>
      <c r="H61" s="5">
        <f>VLOOKUP(A61,DAY_8[],8,0)</f>
        <v>28</v>
      </c>
      <c r="I61" s="5">
        <f>VLOOKUP(A61,DAY_8[],10,0)</f>
        <v>40</v>
      </c>
      <c r="J61" s="5">
        <f>VLOOKUP(A61,DAY_8[],11,0)</f>
        <v>3.9</v>
      </c>
    </row>
    <row r="62" spans="1:10" x14ac:dyDescent="0.25">
      <c r="A62" s="2" t="s">
        <v>149</v>
      </c>
      <c r="B62" s="2" t="str">
        <f>VLOOKUP(A62,DAY_8[],2,0)</f>
        <v>FL250061</v>
      </c>
      <c r="C62" t="str">
        <f>VLOOKUP(A62,DAY_8[],3,0)</f>
        <v>FEMALE</v>
      </c>
      <c r="D62">
        <f>VLOOKUP(A62,DAY_8[],4,0)</f>
        <v>51</v>
      </c>
      <c r="E62" t="str">
        <f>VLOOKUP(A62,DAY_8[],5,0)</f>
        <v>INDONESIA</v>
      </c>
      <c r="F62" s="5" t="str">
        <f>VLOOKUP(A62,DAY_8[],6,0)</f>
        <v>INDONESIAN</v>
      </c>
      <c r="G62" s="5" t="str">
        <f>VLOOKUP(A62,DAY_8[],7,0)</f>
        <v>AI</v>
      </c>
      <c r="H62" s="5">
        <f>VLOOKUP(A62,DAY_8[],8,0)</f>
        <v>33</v>
      </c>
      <c r="I62" s="5">
        <f>VLOOKUP(A62,DAY_8[],10,0)</f>
        <v>75</v>
      </c>
      <c r="J62" s="5">
        <f>VLOOKUP(A62,DAY_8[],11,0)</f>
        <v>0</v>
      </c>
    </row>
    <row r="63" spans="1:10" x14ac:dyDescent="0.25">
      <c r="A63" s="2" t="s">
        <v>151</v>
      </c>
      <c r="B63" s="2" t="str">
        <f>VLOOKUP(A63,DAY_8[],2,0)</f>
        <v>FL250062</v>
      </c>
      <c r="C63" t="str">
        <f>VLOOKUP(A63,DAY_8[],3,0)</f>
        <v>MALE</v>
      </c>
      <c r="D63">
        <f>VLOOKUP(A63,DAY_8[],4,0)</f>
        <v>47</v>
      </c>
      <c r="E63" t="str">
        <f>VLOOKUP(A63,DAY_8[],5,0)</f>
        <v>GERMANY</v>
      </c>
      <c r="F63" s="5" t="str">
        <f>VLOOKUP(A63,DAY_8[],6,0)</f>
        <v>GERMANY</v>
      </c>
      <c r="G63" s="5" t="str">
        <f>VLOOKUP(A63,DAY_8[],7,0)</f>
        <v>AI</v>
      </c>
      <c r="H63" s="5">
        <f>VLOOKUP(A63,DAY_8[],8,0)</f>
        <v>18</v>
      </c>
      <c r="I63" s="5">
        <f>VLOOKUP(A63,DAY_8[],10,0)</f>
        <v>75</v>
      </c>
      <c r="J63" s="5">
        <f>VLOOKUP(A63,DAY_8[],11,0)</f>
        <v>0</v>
      </c>
    </row>
    <row r="64" spans="1:10" x14ac:dyDescent="0.25">
      <c r="A64" s="2" t="s">
        <v>153</v>
      </c>
      <c r="B64" s="2" t="str">
        <f>VLOOKUP(A64,DAY_8[],2,0)</f>
        <v>FL250063</v>
      </c>
      <c r="C64" t="str">
        <f>VLOOKUP(A64,DAY_8[],3,0)</f>
        <v>FEMALE</v>
      </c>
      <c r="D64">
        <f>VLOOKUP(A64,DAY_8[],4,0)</f>
        <v>34</v>
      </c>
      <c r="E64" t="str">
        <f>VLOOKUP(A64,DAY_8[],5,0)</f>
        <v>RUSSIA</v>
      </c>
      <c r="F64" s="5" t="str">
        <f>VLOOKUP(A64,DAY_8[],6,0)</f>
        <v>RUSSIAN</v>
      </c>
      <c r="G64" s="5" t="str">
        <f>VLOOKUP(A64,DAY_8[],7,0)</f>
        <v>UI/UX DESIGN</v>
      </c>
      <c r="H64" s="5">
        <f>VLOOKUP(A64,DAY_8[],8,0)</f>
        <v>16</v>
      </c>
      <c r="I64" s="5">
        <f>VLOOKUP(A64,DAY_8[],10,0)</f>
        <v>20</v>
      </c>
      <c r="J64" s="5">
        <f>VLOOKUP(A64,DAY_8[],11,0)</f>
        <v>2.2999999999999998</v>
      </c>
    </row>
    <row r="65" spans="1:10" x14ac:dyDescent="0.25">
      <c r="A65" s="2" t="s">
        <v>155</v>
      </c>
      <c r="B65" s="2" t="str">
        <f>VLOOKUP(A65,DAY_8[],2,0)</f>
        <v>FL250064</v>
      </c>
      <c r="C65" t="str">
        <f>VLOOKUP(A65,DAY_8[],3,0)</f>
        <v>FEMALE</v>
      </c>
      <c r="D65">
        <f>VLOOKUP(A65,DAY_8[],4,0)</f>
        <v>58</v>
      </c>
      <c r="E65" t="str">
        <f>VLOOKUP(A65,DAY_8[],5,0)</f>
        <v>INDONESIA</v>
      </c>
      <c r="F65" s="5" t="str">
        <f>VLOOKUP(A65,DAY_8[],6,0)</f>
        <v>INDONESIAN</v>
      </c>
      <c r="G65" s="5" t="str">
        <f>VLOOKUP(A65,DAY_8[],7,0)</f>
        <v>DATA ANALYSIS</v>
      </c>
      <c r="H65" s="5">
        <f>VLOOKUP(A65,DAY_8[],8,0)</f>
        <v>35</v>
      </c>
      <c r="I65" s="5">
        <f>VLOOKUP(A65,DAY_8[],10,0)</f>
        <v>50</v>
      </c>
      <c r="J65" s="5">
        <f>VLOOKUP(A65,DAY_8[],11,0)</f>
        <v>4.7</v>
      </c>
    </row>
    <row r="66" spans="1:10" x14ac:dyDescent="0.25">
      <c r="A66" s="2" t="s">
        <v>157</v>
      </c>
      <c r="B66" s="2" t="str">
        <f>VLOOKUP(A66,DAY_8[],2,0)</f>
        <v>FL250065</v>
      </c>
      <c r="C66" t="str">
        <f>VLOOKUP(A66,DAY_8[],3,0)</f>
        <v>FEMALE</v>
      </c>
      <c r="D66">
        <f>VLOOKUP(A66,DAY_8[],4,0)</f>
        <v>50</v>
      </c>
      <c r="E66" t="str">
        <f>VLOOKUP(A66,DAY_8[],5,0)</f>
        <v>RUSSIA</v>
      </c>
      <c r="F66" s="5" t="str">
        <f>VLOOKUP(A66,DAY_8[],6,0)</f>
        <v>RUSSIAN</v>
      </c>
      <c r="G66" s="5" t="str">
        <f>VLOOKUP(A66,DAY_8[],7,0)</f>
        <v>AI</v>
      </c>
      <c r="H66" s="5">
        <f>VLOOKUP(A66,DAY_8[],8,0)</f>
        <v>14</v>
      </c>
      <c r="I66" s="5">
        <f>VLOOKUP(A66,DAY_8[],10,0)</f>
        <v>70</v>
      </c>
      <c r="J66" s="5">
        <f>VLOOKUP(A66,DAY_8[],11,0)</f>
        <v>3.5</v>
      </c>
    </row>
    <row r="67" spans="1:10" x14ac:dyDescent="0.25">
      <c r="A67" s="2" t="s">
        <v>159</v>
      </c>
      <c r="B67" s="2" t="str">
        <f>VLOOKUP(A67,DAY_8[],2,0)</f>
        <v>FL250066</v>
      </c>
      <c r="C67" t="str">
        <f>VLOOKUP(A67,DAY_8[],3,0)</f>
        <v>FEMALE</v>
      </c>
      <c r="D67">
        <f>VLOOKUP(A67,DAY_8[],4,0)</f>
        <v>34</v>
      </c>
      <c r="E67" t="str">
        <f>VLOOKUP(A67,DAY_8[],5,0)</f>
        <v>SPAIN</v>
      </c>
      <c r="F67" s="5" t="str">
        <f>VLOOKUP(A67,DAY_8[],6,0)</f>
        <v>SPANISH</v>
      </c>
      <c r="G67" s="5" t="str">
        <f>VLOOKUP(A67,DAY_8[],7,0)</f>
        <v>WEB DEVELOPMENT</v>
      </c>
      <c r="H67" s="5">
        <f>VLOOKUP(A67,DAY_8[],8,0)</f>
        <v>12</v>
      </c>
      <c r="I67" s="5">
        <f>VLOOKUP(A67,DAY_8[],10,0)</f>
        <v>40</v>
      </c>
      <c r="J67" s="5">
        <f>VLOOKUP(A67,DAY_8[],11,0)</f>
        <v>2.4</v>
      </c>
    </row>
    <row r="68" spans="1:10" x14ac:dyDescent="0.25">
      <c r="A68" s="2" t="s">
        <v>161</v>
      </c>
      <c r="B68" s="2" t="str">
        <f>VLOOKUP(A68,DAY_8[],2,0)</f>
        <v>FL250067</v>
      </c>
      <c r="C68" t="str">
        <f>VLOOKUP(A68,DAY_8[],3,0)</f>
        <v>FEMALE</v>
      </c>
      <c r="D68">
        <f>VLOOKUP(A68,DAY_8[],4,0)</f>
        <v>45</v>
      </c>
      <c r="E68" t="str">
        <f>VLOOKUP(A68,DAY_8[],5,0)</f>
        <v>BRAZIL</v>
      </c>
      <c r="F68" s="5" t="str">
        <f>VLOOKUP(A68,DAY_8[],6,0)</f>
        <v>PORTUGUESE</v>
      </c>
      <c r="G68" s="5" t="str">
        <f>VLOOKUP(A68,DAY_8[],7,0)</f>
        <v>AI</v>
      </c>
      <c r="H68" s="5">
        <f>VLOOKUP(A68,DAY_8[],8,0)</f>
        <v>11</v>
      </c>
      <c r="I68" s="5">
        <f>VLOOKUP(A68,DAY_8[],10,0)</f>
        <v>75</v>
      </c>
      <c r="J68" s="5">
        <f>VLOOKUP(A68,DAY_8[],11,0)</f>
        <v>4</v>
      </c>
    </row>
    <row r="69" spans="1:10" x14ac:dyDescent="0.25">
      <c r="A69" s="2" t="s">
        <v>163</v>
      </c>
      <c r="B69" s="2" t="str">
        <f>VLOOKUP(A69,DAY_8[],2,0)</f>
        <v>FL250068</v>
      </c>
      <c r="C69" t="str">
        <f>VLOOKUP(A69,DAY_8[],3,0)</f>
        <v>FEMALE</v>
      </c>
      <c r="D69">
        <f>VLOOKUP(A69,DAY_8[],4,0)</f>
        <v>55</v>
      </c>
      <c r="E69" t="str">
        <f>VLOOKUP(A69,DAY_8[],5,0)</f>
        <v>BRAZIL</v>
      </c>
      <c r="F69" s="5" t="str">
        <f>VLOOKUP(A69,DAY_8[],6,0)</f>
        <v>PORTUGUESE</v>
      </c>
      <c r="G69" s="5" t="str">
        <f>VLOOKUP(A69,DAY_8[],7,0)</f>
        <v>WEB DEVELOPMENT</v>
      </c>
      <c r="H69" s="5">
        <f>VLOOKUP(A69,DAY_8[],8,0)</f>
        <v>0</v>
      </c>
      <c r="I69" s="5">
        <f>VLOOKUP(A69,DAY_8[],10,0)</f>
        <v>40</v>
      </c>
      <c r="J69" s="5">
        <f>VLOOKUP(A69,DAY_8[],11,0)</f>
        <v>0</v>
      </c>
    </row>
    <row r="70" spans="1:10" x14ac:dyDescent="0.25">
      <c r="A70" s="2" t="s">
        <v>165</v>
      </c>
      <c r="B70" s="2" t="str">
        <f>VLOOKUP(A70,DAY_8[],2,0)</f>
        <v>FL250069</v>
      </c>
      <c r="C70" t="str">
        <f>VLOOKUP(A70,DAY_8[],3,0)</f>
        <v>MALE</v>
      </c>
      <c r="D70">
        <f>VLOOKUP(A70,DAY_8[],4,0)</f>
        <v>41</v>
      </c>
      <c r="E70" t="str">
        <f>VLOOKUP(A70,DAY_8[],5,0)</f>
        <v>ARGENTINA</v>
      </c>
      <c r="F70" s="5" t="str">
        <f>VLOOKUP(A70,DAY_8[],6,0)</f>
        <v>SPANISH</v>
      </c>
      <c r="G70" s="5" t="str">
        <f>VLOOKUP(A70,DAY_8[],7,0)</f>
        <v>UI/UX DESIGN</v>
      </c>
      <c r="H70" s="5">
        <f>VLOOKUP(A70,DAY_8[],8,0)</f>
        <v>6</v>
      </c>
      <c r="I70" s="5">
        <f>VLOOKUP(A70,DAY_8[],10,0)</f>
        <v>100</v>
      </c>
      <c r="J70" s="5">
        <f>VLOOKUP(A70,DAY_8[],11,0)</f>
        <v>1.5</v>
      </c>
    </row>
    <row r="71" spans="1:10" x14ac:dyDescent="0.25">
      <c r="A71" s="2" t="s">
        <v>167</v>
      </c>
      <c r="B71" s="2" t="str">
        <f>VLOOKUP(A71,DAY_8[],2,0)</f>
        <v>FL250070</v>
      </c>
      <c r="C71" t="str">
        <f>VLOOKUP(A71,DAY_8[],3,0)</f>
        <v>FEMALE</v>
      </c>
      <c r="D71">
        <f>VLOOKUP(A71,DAY_8[],4,0)</f>
        <v>60</v>
      </c>
      <c r="E71" t="str">
        <f>VLOOKUP(A71,DAY_8[],5,0)</f>
        <v>CHINA</v>
      </c>
      <c r="F71" s="5" t="str">
        <f>VLOOKUP(A71,DAY_8[],6,0)</f>
        <v>MANDARIN</v>
      </c>
      <c r="G71" s="5" t="str">
        <f>VLOOKUP(A71,DAY_8[],7,0)</f>
        <v>UI/UX DESIGN</v>
      </c>
      <c r="H71" s="5">
        <f>VLOOKUP(A71,DAY_8[],8,0)</f>
        <v>38</v>
      </c>
      <c r="I71" s="5">
        <f>VLOOKUP(A71,DAY_8[],10,0)</f>
        <v>20</v>
      </c>
      <c r="J71" s="5">
        <f>VLOOKUP(A71,DAY_8[],11,0)</f>
        <v>2</v>
      </c>
    </row>
    <row r="72" spans="1:10" x14ac:dyDescent="0.25">
      <c r="A72" s="2" t="s">
        <v>169</v>
      </c>
      <c r="B72" s="2" t="str">
        <f>VLOOKUP(A72,DAY_8[],2,0)</f>
        <v>FL250071</v>
      </c>
      <c r="C72" t="str">
        <f>VLOOKUP(A72,DAY_8[],3,0)</f>
        <v>FEMALE</v>
      </c>
      <c r="D72">
        <f>VLOOKUP(A72,DAY_8[],4,0)</f>
        <v>33</v>
      </c>
      <c r="E72" t="str">
        <f>VLOOKUP(A72,DAY_8[],5,0)</f>
        <v>SOUTH AFRICA</v>
      </c>
      <c r="F72" s="5" t="str">
        <f>VLOOKUP(A72,DAY_8[],6,0)</f>
        <v>AFRIKAANS</v>
      </c>
      <c r="G72" s="5" t="str">
        <f>VLOOKUP(A72,DAY_8[],7,0)</f>
        <v>MOBILE APPS</v>
      </c>
      <c r="H72" s="5">
        <f>VLOOKUP(A72,DAY_8[],8,0)</f>
        <v>11</v>
      </c>
      <c r="I72" s="5">
        <f>VLOOKUP(A72,DAY_8[],10,0)</f>
        <v>70</v>
      </c>
      <c r="J72" s="5">
        <f>VLOOKUP(A72,DAY_8[],11,0)</f>
        <v>2.4</v>
      </c>
    </row>
    <row r="73" spans="1:10" x14ac:dyDescent="0.25">
      <c r="A73" s="2" t="s">
        <v>171</v>
      </c>
      <c r="B73" s="2" t="str">
        <f>VLOOKUP(A73,DAY_8[],2,0)</f>
        <v>FL250072</v>
      </c>
      <c r="C73" t="str">
        <f>VLOOKUP(A73,DAY_8[],3,0)</f>
        <v>MALE</v>
      </c>
      <c r="D73">
        <f>VLOOKUP(A73,DAY_8[],4,0)</f>
        <v>60</v>
      </c>
      <c r="E73" t="str">
        <f>VLOOKUP(A73,DAY_8[],5,0)</f>
        <v>ITALY</v>
      </c>
      <c r="F73" s="5" t="str">
        <f>VLOOKUP(A73,DAY_8[],6,0)</f>
        <v>ITALIAN</v>
      </c>
      <c r="G73" s="5" t="str">
        <f>VLOOKUP(A73,DAY_8[],7,0)</f>
        <v>DEVOPS</v>
      </c>
      <c r="H73" s="5">
        <f>VLOOKUP(A73,DAY_8[],8,0)</f>
        <v>13</v>
      </c>
      <c r="I73" s="5">
        <f>VLOOKUP(A73,DAY_8[],10,0)</f>
        <v>50</v>
      </c>
      <c r="J73" s="5">
        <f>VLOOKUP(A73,DAY_8[],11,0)</f>
        <v>1</v>
      </c>
    </row>
    <row r="74" spans="1:10" x14ac:dyDescent="0.25">
      <c r="A74" s="2" t="s">
        <v>173</v>
      </c>
      <c r="B74" s="2" t="str">
        <f>VLOOKUP(A74,DAY_8[],2,0)</f>
        <v>FL250073</v>
      </c>
      <c r="C74" t="str">
        <f>VLOOKUP(A74,DAY_8[],3,0)</f>
        <v>MALE</v>
      </c>
      <c r="D74">
        <f>VLOOKUP(A74,DAY_8[],4,0)</f>
        <v>40</v>
      </c>
      <c r="E74" t="str">
        <f>VLOOKUP(A74,DAY_8[],5,0)</f>
        <v>US</v>
      </c>
      <c r="F74" s="5" t="str">
        <f>VLOOKUP(A74,DAY_8[],6,0)</f>
        <v>ENGLISH</v>
      </c>
      <c r="G74" s="5" t="str">
        <f>VLOOKUP(A74,DAY_8[],7,0)</f>
        <v>WEB DEVELOPMENT</v>
      </c>
      <c r="H74" s="5">
        <f>VLOOKUP(A74,DAY_8[],8,0)</f>
        <v>9</v>
      </c>
      <c r="I74" s="5">
        <f>VLOOKUP(A74,DAY_8[],10,0)</f>
        <v>100</v>
      </c>
      <c r="J74" s="5">
        <f>VLOOKUP(A74,DAY_8[],11,0)</f>
        <v>4.5</v>
      </c>
    </row>
    <row r="75" spans="1:10" x14ac:dyDescent="0.25">
      <c r="A75" s="2" t="s">
        <v>176</v>
      </c>
      <c r="B75" s="2" t="str">
        <f>VLOOKUP(A75,DAY_8[],2,0)</f>
        <v>FL250074</v>
      </c>
      <c r="C75" t="str">
        <f>VLOOKUP(A75,DAY_8[],3,0)</f>
        <v>MALE</v>
      </c>
      <c r="D75">
        <f>VLOOKUP(A75,DAY_8[],4,0)</f>
        <v>59</v>
      </c>
      <c r="E75" t="str">
        <f>VLOOKUP(A75,DAY_8[],5,0)</f>
        <v>AUSTRALIA</v>
      </c>
      <c r="F75" s="5" t="str">
        <f>VLOOKUP(A75,DAY_8[],6,0)</f>
        <v>ENGLISH</v>
      </c>
      <c r="G75" s="5" t="str">
        <f>VLOOKUP(A75,DAY_8[],7,0)</f>
        <v>BLOCKCHAIN DEVELOPMENT</v>
      </c>
      <c r="H75" s="5">
        <f>VLOOKUP(A75,DAY_8[],8,0)</f>
        <v>4</v>
      </c>
      <c r="I75" s="5">
        <f>VLOOKUP(A75,DAY_8[],10,0)</f>
        <v>70</v>
      </c>
      <c r="J75" s="5">
        <f>VLOOKUP(A75,DAY_8[],11,0)</f>
        <v>1.9</v>
      </c>
    </row>
    <row r="76" spans="1:10" x14ac:dyDescent="0.25">
      <c r="A76" s="2" t="s">
        <v>178</v>
      </c>
      <c r="B76" s="2" t="str">
        <f>VLOOKUP(A76,DAY_8[],2,0)</f>
        <v>FL250075</v>
      </c>
      <c r="C76" t="str">
        <f>VLOOKUP(A76,DAY_8[],3,0)</f>
        <v>MALE</v>
      </c>
      <c r="D76">
        <f>VLOOKUP(A76,DAY_8[],4,0)</f>
        <v>36</v>
      </c>
      <c r="E76" t="str">
        <f>VLOOKUP(A76,DAY_8[],5,0)</f>
        <v>SOUTH KOREA</v>
      </c>
      <c r="F76" s="5" t="str">
        <f>VLOOKUP(A76,DAY_8[],6,0)</f>
        <v>ITALIAN</v>
      </c>
      <c r="G76" s="5" t="str">
        <f>VLOOKUP(A76,DAY_8[],7,0)</f>
        <v>MACHINE LEARNING</v>
      </c>
      <c r="H76" s="5">
        <f>VLOOKUP(A76,DAY_8[],8,0)</f>
        <v>14</v>
      </c>
      <c r="I76" s="5">
        <f>VLOOKUP(A76,DAY_8[],10,0)</f>
        <v>100</v>
      </c>
      <c r="J76" s="5">
        <f>VLOOKUP(A76,DAY_8[],11,0)</f>
        <v>3.7</v>
      </c>
    </row>
    <row r="77" spans="1:10" x14ac:dyDescent="0.25">
      <c r="A77" s="2" t="s">
        <v>180</v>
      </c>
      <c r="B77" s="2" t="str">
        <f>VLOOKUP(A77,DAY_8[],2,0)</f>
        <v>FL250076</v>
      </c>
      <c r="C77" t="str">
        <f>VLOOKUP(A77,DAY_8[],3,0)</f>
        <v>MALE</v>
      </c>
      <c r="D77">
        <f>VLOOKUP(A77,DAY_8[],4,0)</f>
        <v>32</v>
      </c>
      <c r="E77" t="str">
        <f>VLOOKUP(A77,DAY_8[],5,0)</f>
        <v>INDIA</v>
      </c>
      <c r="F77" s="5" t="str">
        <f>VLOOKUP(A77,DAY_8[],6,0)</f>
        <v>HINDI</v>
      </c>
      <c r="G77" s="5" t="str">
        <f>VLOOKUP(A77,DAY_8[],7,0)</f>
        <v>DATA ANALYSIS</v>
      </c>
      <c r="H77" s="5">
        <f>VLOOKUP(A77,DAY_8[],8,0)</f>
        <v>10</v>
      </c>
      <c r="I77" s="5">
        <f>VLOOKUP(A77,DAY_8[],10,0)</f>
        <v>30</v>
      </c>
      <c r="J77" s="5">
        <f>VLOOKUP(A77,DAY_8[],11,0)</f>
        <v>1.9</v>
      </c>
    </row>
    <row r="78" spans="1:10" x14ac:dyDescent="0.25">
      <c r="A78" s="2" t="s">
        <v>182</v>
      </c>
      <c r="B78" s="2" t="str">
        <f>VLOOKUP(A78,DAY_8[],2,0)</f>
        <v>FL250077</v>
      </c>
      <c r="C78" t="str">
        <f>VLOOKUP(A78,DAY_8[],3,0)</f>
        <v>MALE</v>
      </c>
      <c r="D78">
        <f>VLOOKUP(A78,DAY_8[],4,0)</f>
        <v>59</v>
      </c>
      <c r="E78" t="str">
        <f>VLOOKUP(A78,DAY_8[],5,0)</f>
        <v>AUSTRALIA</v>
      </c>
      <c r="F78" s="5" t="str">
        <f>VLOOKUP(A78,DAY_8[],6,0)</f>
        <v>ENGLISH</v>
      </c>
      <c r="G78" s="5" t="str">
        <f>VLOOKUP(A78,DAY_8[],7,0)</f>
        <v>AI</v>
      </c>
      <c r="H78" s="5">
        <f>VLOOKUP(A78,DAY_8[],8,0)</f>
        <v>9</v>
      </c>
      <c r="I78" s="5">
        <f>VLOOKUP(A78,DAY_8[],10,0)</f>
        <v>75</v>
      </c>
      <c r="J78" s="5">
        <f>VLOOKUP(A78,DAY_8[],11,0)</f>
        <v>4</v>
      </c>
    </row>
    <row r="79" spans="1:10" x14ac:dyDescent="0.25">
      <c r="A79" s="2" t="s">
        <v>184</v>
      </c>
      <c r="B79" s="2" t="str">
        <f>VLOOKUP(A79,DAY_8[],2,0)</f>
        <v>FL250078</v>
      </c>
      <c r="C79" t="str">
        <f>VLOOKUP(A79,DAY_8[],3,0)</f>
        <v>FEMALE</v>
      </c>
      <c r="D79">
        <f>VLOOKUP(A79,DAY_8[],4,0)</f>
        <v>54</v>
      </c>
      <c r="E79" t="str">
        <f>VLOOKUP(A79,DAY_8[],5,0)</f>
        <v>SPAIN</v>
      </c>
      <c r="F79" s="5" t="str">
        <f>VLOOKUP(A79,DAY_8[],6,0)</f>
        <v>SPANISH</v>
      </c>
      <c r="G79" s="5" t="str">
        <f>VLOOKUP(A79,DAY_8[],7,0)</f>
        <v>DEVOPS</v>
      </c>
      <c r="H79" s="5">
        <f>VLOOKUP(A79,DAY_8[],8,0)</f>
        <v>32</v>
      </c>
      <c r="I79" s="5">
        <f>VLOOKUP(A79,DAY_8[],10,0)</f>
        <v>40</v>
      </c>
      <c r="J79" s="5">
        <f>VLOOKUP(A79,DAY_8[],11,0)</f>
        <v>1.8</v>
      </c>
    </row>
    <row r="80" spans="1:10" x14ac:dyDescent="0.25">
      <c r="A80" s="2" t="s">
        <v>186</v>
      </c>
      <c r="B80" s="2" t="str">
        <f>VLOOKUP(A80,DAY_8[],2,0)</f>
        <v>FL250079</v>
      </c>
      <c r="C80" t="str">
        <f>VLOOKUP(A80,DAY_8[],3,0)</f>
        <v>FEMALE</v>
      </c>
      <c r="D80">
        <f>VLOOKUP(A80,DAY_8[],4,0)</f>
        <v>37</v>
      </c>
      <c r="E80" t="str">
        <f>VLOOKUP(A80,DAY_8[],5,0)</f>
        <v>CANADA</v>
      </c>
      <c r="F80" s="5" t="str">
        <f>VLOOKUP(A80,DAY_8[],6,0)</f>
        <v>ENGLISH</v>
      </c>
      <c r="G80" s="5" t="str">
        <f>VLOOKUP(A80,DAY_8[],7,0)</f>
        <v>GRAPHIC DESIGN</v>
      </c>
      <c r="H80" s="5">
        <f>VLOOKUP(A80,DAY_8[],8,0)</f>
        <v>9</v>
      </c>
      <c r="I80" s="5">
        <f>VLOOKUP(A80,DAY_8[],10,0)</f>
        <v>70</v>
      </c>
      <c r="J80" s="5">
        <f>VLOOKUP(A80,DAY_8[],11,0)</f>
        <v>0</v>
      </c>
    </row>
    <row r="81" spans="1:10" x14ac:dyDescent="0.25">
      <c r="A81" s="2" t="s">
        <v>188</v>
      </c>
      <c r="B81" s="2" t="str">
        <f>VLOOKUP(A81,DAY_8[],2,0)</f>
        <v>FL250080</v>
      </c>
      <c r="C81" t="str">
        <f>VLOOKUP(A81,DAY_8[],3,0)</f>
        <v>MALE</v>
      </c>
      <c r="D81">
        <f>VLOOKUP(A81,DAY_8[],4,0)</f>
        <v>54</v>
      </c>
      <c r="E81" t="str">
        <f>VLOOKUP(A81,DAY_8[],5,0)</f>
        <v>INDIA</v>
      </c>
      <c r="F81" s="5" t="str">
        <f>VLOOKUP(A81,DAY_8[],6,0)</f>
        <v>HINDI</v>
      </c>
      <c r="G81" s="5" t="str">
        <f>VLOOKUP(A81,DAY_8[],7,0)</f>
        <v>MACHINE LEARNING</v>
      </c>
      <c r="H81" s="5">
        <f>VLOOKUP(A81,DAY_8[],8,0)</f>
        <v>21</v>
      </c>
      <c r="I81" s="5">
        <f>VLOOKUP(A81,DAY_8[],10,0)</f>
        <v>100</v>
      </c>
      <c r="J81" s="5">
        <f>VLOOKUP(A81,DAY_8[],11,0)</f>
        <v>4.5999999999999996</v>
      </c>
    </row>
    <row r="82" spans="1:10" x14ac:dyDescent="0.25">
      <c r="A82" s="2" t="s">
        <v>190</v>
      </c>
      <c r="B82" s="2" t="str">
        <f>VLOOKUP(A82,DAY_8[],2,0)</f>
        <v>FL250081</v>
      </c>
      <c r="C82" t="str">
        <f>VLOOKUP(A82,DAY_8[],3,0)</f>
        <v>FEMALE</v>
      </c>
      <c r="D82">
        <f>VLOOKUP(A82,DAY_8[],4,0)</f>
        <v>33</v>
      </c>
      <c r="E82" t="str">
        <f>VLOOKUP(A82,DAY_8[],5,0)</f>
        <v>ARGENTINA</v>
      </c>
      <c r="F82" s="5" t="str">
        <f>VLOOKUP(A82,DAY_8[],6,0)</f>
        <v>SPANISH</v>
      </c>
      <c r="G82" s="5" t="str">
        <f>VLOOKUP(A82,DAY_8[],7,0)</f>
        <v>UI/UX DESIGN</v>
      </c>
      <c r="H82" s="5">
        <f>VLOOKUP(A82,DAY_8[],8,0)</f>
        <v>12</v>
      </c>
      <c r="I82" s="5">
        <f>VLOOKUP(A82,DAY_8[],10,0)</f>
        <v>100</v>
      </c>
      <c r="J82" s="5">
        <f>VLOOKUP(A82,DAY_8[],11,0)</f>
        <v>3.6</v>
      </c>
    </row>
    <row r="83" spans="1:10" x14ac:dyDescent="0.25">
      <c r="A83" s="2" t="s">
        <v>192</v>
      </c>
      <c r="B83" s="2" t="str">
        <f>VLOOKUP(A83,DAY_8[],2,0)</f>
        <v>FL250082</v>
      </c>
      <c r="C83" t="str">
        <f>VLOOKUP(A83,DAY_8[],3,0)</f>
        <v>FEMALE</v>
      </c>
      <c r="D83">
        <f>VLOOKUP(A83,DAY_8[],4,0)</f>
        <v>25</v>
      </c>
      <c r="E83" t="str">
        <f>VLOOKUP(A83,DAY_8[],5,0)</f>
        <v>EGYPT</v>
      </c>
      <c r="F83" s="5" t="str">
        <f>VLOOKUP(A83,DAY_8[],6,0)</f>
        <v>ARABIC</v>
      </c>
      <c r="G83" s="5" t="str">
        <f>VLOOKUP(A83,DAY_8[],7,0)</f>
        <v>WEB DEVELOPMENT</v>
      </c>
      <c r="H83" s="5">
        <f>VLOOKUP(A83,DAY_8[],8,0)</f>
        <v>7</v>
      </c>
      <c r="I83" s="5">
        <f>VLOOKUP(A83,DAY_8[],10,0)</f>
        <v>40</v>
      </c>
      <c r="J83" s="5">
        <f>VLOOKUP(A83,DAY_8[],11,0)</f>
        <v>4.4000000000000004</v>
      </c>
    </row>
    <row r="84" spans="1:10" x14ac:dyDescent="0.25">
      <c r="A84" s="2" t="s">
        <v>194</v>
      </c>
      <c r="B84" s="2" t="str">
        <f>VLOOKUP(A84,DAY_8[],2,0)</f>
        <v>FL250083</v>
      </c>
      <c r="C84" t="str">
        <f>VLOOKUP(A84,DAY_8[],3,0)</f>
        <v>MALE</v>
      </c>
      <c r="D84">
        <f>VLOOKUP(A84,DAY_8[],4,0)</f>
        <v>41</v>
      </c>
      <c r="E84" t="str">
        <f>VLOOKUP(A84,DAY_8[],5,0)</f>
        <v>CHINA</v>
      </c>
      <c r="F84" s="5" t="str">
        <f>VLOOKUP(A84,DAY_8[],6,0)</f>
        <v>MANDARIN</v>
      </c>
      <c r="G84" s="5" t="str">
        <f>VLOOKUP(A84,DAY_8[],7,0)</f>
        <v>DEVOPS</v>
      </c>
      <c r="H84" s="5">
        <f>VLOOKUP(A84,DAY_8[],8,0)</f>
        <v>3</v>
      </c>
      <c r="I84" s="5">
        <f>VLOOKUP(A84,DAY_8[],10,0)</f>
        <v>40</v>
      </c>
      <c r="J84" s="5">
        <f>VLOOKUP(A84,DAY_8[],11,0)</f>
        <v>4.5999999999999996</v>
      </c>
    </row>
    <row r="85" spans="1:10" x14ac:dyDescent="0.25">
      <c r="A85" s="2" t="s">
        <v>196</v>
      </c>
      <c r="B85" s="2" t="str">
        <f>VLOOKUP(A85,DAY_8[],2,0)</f>
        <v>FL250084</v>
      </c>
      <c r="C85" t="str">
        <f>VLOOKUP(A85,DAY_8[],3,0)</f>
        <v>MALE</v>
      </c>
      <c r="D85">
        <f>VLOOKUP(A85,DAY_8[],4,0)</f>
        <v>35</v>
      </c>
      <c r="E85" t="str">
        <f>VLOOKUP(A85,DAY_8[],5,0)</f>
        <v>SOUTH KOREA</v>
      </c>
      <c r="F85" s="5" t="str">
        <f>VLOOKUP(A85,DAY_8[],6,0)</f>
        <v>KOREAN</v>
      </c>
      <c r="G85" s="5" t="str">
        <f>VLOOKUP(A85,DAY_8[],7,0)</f>
        <v>WEB DEVELOPMENT</v>
      </c>
      <c r="H85" s="5">
        <f>VLOOKUP(A85,DAY_8[],8,0)</f>
        <v>5</v>
      </c>
      <c r="I85" s="5">
        <f>VLOOKUP(A85,DAY_8[],10,0)</f>
        <v>75</v>
      </c>
      <c r="J85" s="5">
        <f>VLOOKUP(A85,DAY_8[],11,0)</f>
        <v>3.2</v>
      </c>
    </row>
    <row r="86" spans="1:10" x14ac:dyDescent="0.25">
      <c r="A86" s="2" t="s">
        <v>198</v>
      </c>
      <c r="B86" s="2" t="str">
        <f>VLOOKUP(A86,DAY_8[],2,0)</f>
        <v>FL250085</v>
      </c>
      <c r="C86" t="str">
        <f>VLOOKUP(A86,DAY_8[],3,0)</f>
        <v>MALE</v>
      </c>
      <c r="D86">
        <f>VLOOKUP(A86,DAY_8[],4,0)</f>
        <v>59</v>
      </c>
      <c r="E86" t="str">
        <f>VLOOKUP(A86,DAY_8[],5,0)</f>
        <v>SOUTH KOREA</v>
      </c>
      <c r="F86" s="5" t="str">
        <f>VLOOKUP(A86,DAY_8[],6,0)</f>
        <v>KOREAN</v>
      </c>
      <c r="G86" s="5" t="str">
        <f>VLOOKUP(A86,DAY_8[],7,0)</f>
        <v>AI</v>
      </c>
      <c r="H86" s="5">
        <f>VLOOKUP(A86,DAY_8[],8,0)</f>
        <v>30</v>
      </c>
      <c r="I86" s="5">
        <f>VLOOKUP(A86,DAY_8[],10,0)</f>
        <v>40</v>
      </c>
      <c r="J86" s="5">
        <f>VLOOKUP(A86,DAY_8[],11,0)</f>
        <v>0</v>
      </c>
    </row>
    <row r="87" spans="1:10" x14ac:dyDescent="0.25">
      <c r="A87" s="2" t="s">
        <v>200</v>
      </c>
      <c r="B87" s="2" t="str">
        <f>VLOOKUP(A87,DAY_8[],2,0)</f>
        <v>FL250086</v>
      </c>
      <c r="C87" t="str">
        <f>VLOOKUP(A87,DAY_8[],3,0)</f>
        <v>FEMALE</v>
      </c>
      <c r="D87">
        <f>VLOOKUP(A87,DAY_8[],4,0)</f>
        <v>21</v>
      </c>
      <c r="E87" t="str">
        <f>VLOOKUP(A87,DAY_8[],5,0)</f>
        <v>CHINA</v>
      </c>
      <c r="F87" s="5" t="str">
        <f>VLOOKUP(A87,DAY_8[],6,0)</f>
        <v>MANDARIN</v>
      </c>
      <c r="G87" s="5" t="str">
        <f>VLOOKUP(A87,DAY_8[],7,0)</f>
        <v>DEVOPS</v>
      </c>
      <c r="H87" s="5">
        <f>VLOOKUP(A87,DAY_8[],8,0)</f>
        <v>2</v>
      </c>
      <c r="I87" s="5">
        <f>VLOOKUP(A87,DAY_8[],10,0)</f>
        <v>100</v>
      </c>
      <c r="J87" s="5">
        <f>VLOOKUP(A87,DAY_8[],11,0)</f>
        <v>2.6</v>
      </c>
    </row>
    <row r="88" spans="1:10" x14ac:dyDescent="0.25">
      <c r="A88" s="2" t="s">
        <v>202</v>
      </c>
      <c r="B88" s="2" t="str">
        <f>VLOOKUP(A88,DAY_8[],2,0)</f>
        <v>FL250087</v>
      </c>
      <c r="C88" t="str">
        <f>VLOOKUP(A88,DAY_8[],3,0)</f>
        <v>MALE</v>
      </c>
      <c r="D88">
        <f>VLOOKUP(A88,DAY_8[],4,0)</f>
        <v>25</v>
      </c>
      <c r="E88" t="str">
        <f>VLOOKUP(A88,DAY_8[],5,0)</f>
        <v>US</v>
      </c>
      <c r="F88" s="5" t="str">
        <f>VLOOKUP(A88,DAY_8[],6,0)</f>
        <v>ENGLISH</v>
      </c>
      <c r="G88" s="5" t="str">
        <f>VLOOKUP(A88,DAY_8[],7,0)</f>
        <v>MOBILE APPS</v>
      </c>
      <c r="H88" s="5">
        <f>VLOOKUP(A88,DAY_8[],8,0)</f>
        <v>2</v>
      </c>
      <c r="I88" s="5">
        <f>VLOOKUP(A88,DAY_8[],10,0)</f>
        <v>75</v>
      </c>
      <c r="J88" s="5">
        <f>VLOOKUP(A88,DAY_8[],11,0)</f>
        <v>3.7</v>
      </c>
    </row>
    <row r="89" spans="1:10" x14ac:dyDescent="0.25">
      <c r="A89" s="2" t="s">
        <v>204</v>
      </c>
      <c r="B89" s="2" t="str">
        <f>VLOOKUP(A89,DAY_8[],2,0)</f>
        <v>FL250088</v>
      </c>
      <c r="C89" t="str">
        <f>VLOOKUP(A89,DAY_8[],3,0)</f>
        <v>FEMALE</v>
      </c>
      <c r="D89">
        <f>VLOOKUP(A89,DAY_8[],4,0)</f>
        <v>38</v>
      </c>
      <c r="E89" t="str">
        <f>VLOOKUP(A89,DAY_8[],5,0)</f>
        <v>MEXICO</v>
      </c>
      <c r="F89" s="5" t="str">
        <f>VLOOKUP(A89,DAY_8[],6,0)</f>
        <v>SPANISH</v>
      </c>
      <c r="G89" s="5" t="str">
        <f>VLOOKUP(A89,DAY_8[],7,0)</f>
        <v>WEB DEVELOPMENT</v>
      </c>
      <c r="H89" s="5">
        <f>VLOOKUP(A89,DAY_8[],8,0)</f>
        <v>19</v>
      </c>
      <c r="I89" s="5">
        <f>VLOOKUP(A89,DAY_8[],10,0)</f>
        <v>75</v>
      </c>
      <c r="J89" s="5">
        <f>VLOOKUP(A89,DAY_8[],11,0)</f>
        <v>2.2999999999999998</v>
      </c>
    </row>
    <row r="90" spans="1:10" x14ac:dyDescent="0.25">
      <c r="A90" s="2" t="s">
        <v>206</v>
      </c>
      <c r="B90" s="2" t="str">
        <f>VLOOKUP(A90,DAY_8[],2,0)</f>
        <v>FL250089</v>
      </c>
      <c r="C90" t="str">
        <f>VLOOKUP(A90,DAY_8[],3,0)</f>
        <v>MALE</v>
      </c>
      <c r="D90">
        <f>VLOOKUP(A90,DAY_8[],4,0)</f>
        <v>57</v>
      </c>
      <c r="E90" t="str">
        <f>VLOOKUP(A90,DAY_8[],5,0)</f>
        <v>RUSSIA</v>
      </c>
      <c r="F90" s="5" t="str">
        <f>VLOOKUP(A90,DAY_8[],6,0)</f>
        <v>RUSSIAN</v>
      </c>
      <c r="G90" s="5" t="str">
        <f>VLOOKUP(A90,DAY_8[],7,0)</f>
        <v>AI</v>
      </c>
      <c r="H90" s="5">
        <f>VLOOKUP(A90,DAY_8[],8,0)</f>
        <v>16</v>
      </c>
      <c r="I90" s="5">
        <f>VLOOKUP(A90,DAY_8[],10,0)</f>
        <v>100</v>
      </c>
      <c r="J90" s="5">
        <f>VLOOKUP(A90,DAY_8[],11,0)</f>
        <v>3.1</v>
      </c>
    </row>
    <row r="91" spans="1:10" x14ac:dyDescent="0.25">
      <c r="A91" s="2" t="s">
        <v>208</v>
      </c>
      <c r="B91" s="2" t="str">
        <f>VLOOKUP(A91,DAY_8[],2,0)</f>
        <v>FL250090</v>
      </c>
      <c r="C91" t="str">
        <f>VLOOKUP(A91,DAY_8[],3,0)</f>
        <v>MALE</v>
      </c>
      <c r="D91">
        <f>VLOOKUP(A91,DAY_8[],4,0)</f>
        <v>32</v>
      </c>
      <c r="E91" t="str">
        <f>VLOOKUP(A91,DAY_8[],5,0)</f>
        <v>INDIA</v>
      </c>
      <c r="F91" s="5" t="str">
        <f>VLOOKUP(A91,DAY_8[],6,0)</f>
        <v>HINDI</v>
      </c>
      <c r="G91" s="5" t="str">
        <f>VLOOKUP(A91,DAY_8[],7,0)</f>
        <v>MOBILE APPS</v>
      </c>
      <c r="H91" s="5">
        <f>VLOOKUP(A91,DAY_8[],8,0)</f>
        <v>10</v>
      </c>
      <c r="I91" s="5">
        <f>VLOOKUP(A91,DAY_8[],10,0)</f>
        <v>20</v>
      </c>
      <c r="J91" s="5">
        <f>VLOOKUP(A91,DAY_8[],11,0)</f>
        <v>2.4</v>
      </c>
    </row>
    <row r="92" spans="1:10" x14ac:dyDescent="0.25">
      <c r="A92" s="2" t="s">
        <v>210</v>
      </c>
      <c r="B92" s="2" t="str">
        <f>VLOOKUP(A92,DAY_8[],2,0)</f>
        <v>FL250091</v>
      </c>
      <c r="C92" t="str">
        <f>VLOOKUP(A92,DAY_8[],3,0)</f>
        <v>MALE</v>
      </c>
      <c r="D92">
        <f>VLOOKUP(A92,DAY_8[],4,0)</f>
        <v>21</v>
      </c>
      <c r="E92" t="str">
        <f>VLOOKUP(A92,DAY_8[],5,0)</f>
        <v>ITALY</v>
      </c>
      <c r="F92" s="5" t="str">
        <f>VLOOKUP(A92,DAY_8[],6,0)</f>
        <v>ITALIAN</v>
      </c>
      <c r="G92" s="5" t="str">
        <f>VLOOKUP(A92,DAY_8[],7,0)</f>
        <v>DEVOPS</v>
      </c>
      <c r="H92" s="5">
        <f>VLOOKUP(A92,DAY_8[],8,0)</f>
        <v>2</v>
      </c>
      <c r="I92" s="5">
        <f>VLOOKUP(A92,DAY_8[],10,0)</f>
        <v>100</v>
      </c>
      <c r="J92" s="5">
        <f>VLOOKUP(A92,DAY_8[],11,0)</f>
        <v>1.6</v>
      </c>
    </row>
    <row r="93" spans="1:10" x14ac:dyDescent="0.25">
      <c r="A93" s="2" t="s">
        <v>212</v>
      </c>
      <c r="B93" s="2" t="str">
        <f>VLOOKUP(A93,DAY_8[],2,0)</f>
        <v>FL250092</v>
      </c>
      <c r="C93" t="str">
        <f>VLOOKUP(A93,DAY_8[],3,0)</f>
        <v>FEMALE</v>
      </c>
      <c r="D93">
        <f>VLOOKUP(A93,DAY_8[],4,0)</f>
        <v>57</v>
      </c>
      <c r="E93" t="str">
        <f>VLOOKUP(A93,DAY_8[],5,0)</f>
        <v>CANADA</v>
      </c>
      <c r="F93" s="5" t="str">
        <f>VLOOKUP(A93,DAY_8[],6,0)</f>
        <v>ENGLISH</v>
      </c>
      <c r="G93" s="5" t="str">
        <f>VLOOKUP(A93,DAY_8[],7,0)</f>
        <v>CYBERSECURITY</v>
      </c>
      <c r="H93" s="5">
        <f>VLOOKUP(A93,DAY_8[],8,0)</f>
        <v>18</v>
      </c>
      <c r="I93" s="5">
        <f>VLOOKUP(A93,DAY_8[],10,0)</f>
        <v>50</v>
      </c>
      <c r="J93" s="5">
        <f>VLOOKUP(A93,DAY_8[],11,0)</f>
        <v>2.4</v>
      </c>
    </row>
    <row r="94" spans="1:10" x14ac:dyDescent="0.25">
      <c r="A94" s="2" t="s">
        <v>214</v>
      </c>
      <c r="B94" s="2" t="str">
        <f>VLOOKUP(A94,DAY_8[],2,0)</f>
        <v>FL250093</v>
      </c>
      <c r="C94" t="str">
        <f>VLOOKUP(A94,DAY_8[],3,0)</f>
        <v>MALE</v>
      </c>
      <c r="D94">
        <f>VLOOKUP(A94,DAY_8[],4,0)</f>
        <v>53</v>
      </c>
      <c r="E94" t="str">
        <f>VLOOKUP(A94,DAY_8[],5,0)</f>
        <v>CHINA</v>
      </c>
      <c r="F94" s="5" t="str">
        <f>VLOOKUP(A94,DAY_8[],6,0)</f>
        <v>MANDARIN</v>
      </c>
      <c r="G94" s="5" t="str">
        <f>VLOOKUP(A94,DAY_8[],7,0)</f>
        <v>UI/UX DESIGN</v>
      </c>
      <c r="H94" s="5">
        <f>VLOOKUP(A94,DAY_8[],8,0)</f>
        <v>21</v>
      </c>
      <c r="I94" s="5">
        <f>VLOOKUP(A94,DAY_8[],10,0)</f>
        <v>100</v>
      </c>
      <c r="J94" s="5">
        <f>VLOOKUP(A94,DAY_8[],11,0)</f>
        <v>2.4</v>
      </c>
    </row>
    <row r="95" spans="1:10" x14ac:dyDescent="0.25">
      <c r="A95" s="2" t="s">
        <v>216</v>
      </c>
      <c r="B95" s="2" t="str">
        <f>VLOOKUP(A95,DAY_8[],2,0)</f>
        <v>FL250094</v>
      </c>
      <c r="C95" t="str">
        <f>VLOOKUP(A95,DAY_8[],3,0)</f>
        <v>MALE</v>
      </c>
      <c r="D95">
        <f>VLOOKUP(A95,DAY_8[],4,0)</f>
        <v>35</v>
      </c>
      <c r="E95" t="str">
        <f>VLOOKUP(A95,DAY_8[],5,0)</f>
        <v>RUSSIA</v>
      </c>
      <c r="F95" s="5" t="str">
        <f>VLOOKUP(A95,DAY_8[],6,0)</f>
        <v>RUSSIAN</v>
      </c>
      <c r="G95" s="5" t="str">
        <f>VLOOKUP(A95,DAY_8[],7,0)</f>
        <v>BLOCKCHAIN DEVELOPMENT</v>
      </c>
      <c r="H95" s="5">
        <f>VLOOKUP(A95,DAY_8[],8,0)</f>
        <v>3</v>
      </c>
      <c r="I95" s="5">
        <f>VLOOKUP(A95,DAY_8[],10,0)</f>
        <v>30</v>
      </c>
      <c r="J95" s="5">
        <f>VLOOKUP(A95,DAY_8[],11,0)</f>
        <v>3.8</v>
      </c>
    </row>
    <row r="96" spans="1:10" x14ac:dyDescent="0.25">
      <c r="A96" s="2" t="s">
        <v>218</v>
      </c>
      <c r="B96" s="2" t="str">
        <f>VLOOKUP(A96,DAY_8[],2,0)</f>
        <v>FL250095</v>
      </c>
      <c r="C96" t="str">
        <f>VLOOKUP(A96,DAY_8[],3,0)</f>
        <v>FEMALE</v>
      </c>
      <c r="D96">
        <f>VLOOKUP(A96,DAY_8[],4,0)</f>
        <v>54</v>
      </c>
      <c r="E96" t="str">
        <f>VLOOKUP(A96,DAY_8[],5,0)</f>
        <v>CHINA</v>
      </c>
      <c r="F96" s="5" t="str">
        <f>VLOOKUP(A96,DAY_8[],6,0)</f>
        <v>MANDARIN</v>
      </c>
      <c r="G96" s="5" t="str">
        <f>VLOOKUP(A96,DAY_8[],7,0)</f>
        <v>MACHINE LEARNING</v>
      </c>
      <c r="H96" s="5">
        <f>VLOOKUP(A96,DAY_8[],8,0)</f>
        <v>17</v>
      </c>
      <c r="I96" s="5">
        <f>VLOOKUP(A96,DAY_8[],10,0)</f>
        <v>20</v>
      </c>
      <c r="J96" s="5">
        <f>VLOOKUP(A96,DAY_8[],11,0)</f>
        <v>1.7</v>
      </c>
    </row>
    <row r="97" spans="1:10" x14ac:dyDescent="0.25">
      <c r="A97" s="2" t="s">
        <v>220</v>
      </c>
      <c r="B97" s="2" t="str">
        <f>VLOOKUP(A97,DAY_8[],2,0)</f>
        <v>FL250096</v>
      </c>
      <c r="C97" t="str">
        <f>VLOOKUP(A97,DAY_8[],3,0)</f>
        <v>FEMALE</v>
      </c>
      <c r="D97">
        <f>VLOOKUP(A97,DAY_8[],4,0)</f>
        <v>36</v>
      </c>
      <c r="E97" t="str">
        <f>VLOOKUP(A97,DAY_8[],5,0)</f>
        <v>ITALY</v>
      </c>
      <c r="F97" s="5" t="str">
        <f>VLOOKUP(A97,DAY_8[],6,0)</f>
        <v>ITALIAN</v>
      </c>
      <c r="G97" s="5" t="str">
        <f>VLOOKUP(A97,DAY_8[],7,0)</f>
        <v>UI/UX DESIGN</v>
      </c>
      <c r="H97" s="5">
        <f>VLOOKUP(A97,DAY_8[],8,0)</f>
        <v>0</v>
      </c>
      <c r="I97" s="5">
        <f>VLOOKUP(A97,DAY_8[],10,0)</f>
        <v>20</v>
      </c>
      <c r="J97" s="5">
        <f>VLOOKUP(A97,DAY_8[],11,0)</f>
        <v>1.3</v>
      </c>
    </row>
    <row r="98" spans="1:10" x14ac:dyDescent="0.25">
      <c r="A98" s="2" t="s">
        <v>222</v>
      </c>
      <c r="B98" s="2" t="str">
        <f>VLOOKUP(A98,DAY_8[],2,0)</f>
        <v>FL250097</v>
      </c>
      <c r="C98" t="str">
        <f>VLOOKUP(A98,DAY_8[],3,0)</f>
        <v>FEMALE</v>
      </c>
      <c r="D98">
        <f>VLOOKUP(A98,DAY_8[],4,0)</f>
        <v>49</v>
      </c>
      <c r="E98" t="str">
        <f>VLOOKUP(A98,DAY_8[],5,0)</f>
        <v>SPAIN</v>
      </c>
      <c r="F98" s="5" t="str">
        <f>VLOOKUP(A98,DAY_8[],6,0)</f>
        <v>SPANISH</v>
      </c>
      <c r="G98" s="5" t="str">
        <f>VLOOKUP(A98,DAY_8[],7,0)</f>
        <v>CYBERSECURITY</v>
      </c>
      <c r="H98" s="5">
        <f>VLOOKUP(A98,DAY_8[],8,0)</f>
        <v>25</v>
      </c>
      <c r="I98" s="5">
        <f>VLOOKUP(A98,DAY_8[],10,0)</f>
        <v>50</v>
      </c>
      <c r="J98" s="5">
        <f>VLOOKUP(A98,DAY_8[],11,0)</f>
        <v>5</v>
      </c>
    </row>
    <row r="99" spans="1:10" x14ac:dyDescent="0.25">
      <c r="A99" s="2" t="s">
        <v>224</v>
      </c>
      <c r="B99" s="2" t="str">
        <f>VLOOKUP(A99,DAY_8[],2,0)</f>
        <v>FL250098</v>
      </c>
      <c r="C99" t="str">
        <f>VLOOKUP(A99,DAY_8[],3,0)</f>
        <v>MALE</v>
      </c>
      <c r="D99">
        <f>VLOOKUP(A99,DAY_8[],4,0)</f>
        <v>37</v>
      </c>
      <c r="E99" t="str">
        <f>VLOOKUP(A99,DAY_8[],5,0)</f>
        <v>US</v>
      </c>
      <c r="F99" s="5" t="str">
        <f>VLOOKUP(A99,DAY_8[],6,0)</f>
        <v>ENGLISH</v>
      </c>
      <c r="G99" s="5" t="str">
        <f>VLOOKUP(A99,DAY_8[],7,0)</f>
        <v>BLOCKCHAIN DEVELOPMENT</v>
      </c>
      <c r="H99" s="5">
        <f>VLOOKUP(A99,DAY_8[],8,0)</f>
        <v>17</v>
      </c>
      <c r="I99" s="5">
        <f>VLOOKUP(A99,DAY_8[],10,0)</f>
        <v>20</v>
      </c>
      <c r="J99" s="5">
        <f>VLOOKUP(A99,DAY_8[],11,0)</f>
        <v>3.3</v>
      </c>
    </row>
    <row r="100" spans="1:10" x14ac:dyDescent="0.25">
      <c r="A100" s="2" t="s">
        <v>226</v>
      </c>
      <c r="B100" s="2" t="str">
        <f>VLOOKUP(A100,DAY_8[],2,0)</f>
        <v>FL250099</v>
      </c>
      <c r="C100" t="str">
        <f>VLOOKUP(A100,DAY_8[],3,0)</f>
        <v>MALE</v>
      </c>
      <c r="D100">
        <f>VLOOKUP(A100,DAY_8[],4,0)</f>
        <v>41</v>
      </c>
      <c r="E100" t="str">
        <f>VLOOKUP(A100,DAY_8[],5,0)</f>
        <v>US</v>
      </c>
      <c r="F100" s="5" t="str">
        <f>VLOOKUP(A100,DAY_8[],6,0)</f>
        <v>ENGLISH</v>
      </c>
      <c r="G100" s="5" t="str">
        <f>VLOOKUP(A100,DAY_8[],7,0)</f>
        <v>UI/UX DESIGN</v>
      </c>
      <c r="H100" s="5">
        <f>VLOOKUP(A100,DAY_8[],8,0)</f>
        <v>5</v>
      </c>
      <c r="I100" s="5">
        <f>VLOOKUP(A100,DAY_8[],10,0)</f>
        <v>20</v>
      </c>
      <c r="J100" s="5">
        <f>VLOOKUP(A100,DAY_8[],11,0)</f>
        <v>1.1000000000000001</v>
      </c>
    </row>
    <row r="101" spans="1:10" x14ac:dyDescent="0.25">
      <c r="A101" s="2" t="s">
        <v>228</v>
      </c>
      <c r="B101" s="2" t="str">
        <f>VLOOKUP(A101,DAY_8[],2,0)</f>
        <v>FL250100</v>
      </c>
      <c r="C101" t="str">
        <f>VLOOKUP(A101,DAY_8[],3,0)</f>
        <v>MALE</v>
      </c>
      <c r="D101">
        <f>VLOOKUP(A101,DAY_8[],4,0)</f>
        <v>32</v>
      </c>
      <c r="E101" t="str">
        <f>VLOOKUP(A101,DAY_8[],5,0)</f>
        <v>EGYPT</v>
      </c>
      <c r="F101" s="5" t="str">
        <f>VLOOKUP(A101,DAY_8[],6,0)</f>
        <v>ARABIC</v>
      </c>
      <c r="G101" s="5" t="str">
        <f>VLOOKUP(A101,DAY_8[],7,0)</f>
        <v>UI/UX DESIGN</v>
      </c>
      <c r="H101" s="5">
        <f>VLOOKUP(A101,DAY_8[],8,0)</f>
        <v>10</v>
      </c>
      <c r="I101" s="5">
        <f>VLOOKUP(A101,DAY_8[],10,0)</f>
        <v>50</v>
      </c>
      <c r="J101" s="5">
        <f>VLOOKUP(A101,DAY_8[],11,0)</f>
        <v>1.2</v>
      </c>
    </row>
    <row r="102" spans="1:10" x14ac:dyDescent="0.25">
      <c r="A102" s="2" t="s">
        <v>230</v>
      </c>
      <c r="B102" s="2" t="str">
        <f>VLOOKUP(A102,DAY_8[],2,0)</f>
        <v>FL250101</v>
      </c>
      <c r="C102" t="str">
        <f>VLOOKUP(A102,DAY_8[],3,0)</f>
        <v>MALE</v>
      </c>
      <c r="D102">
        <f>VLOOKUP(A102,DAY_8[],4,0)</f>
        <v>35</v>
      </c>
      <c r="E102" t="str">
        <f>VLOOKUP(A102,DAY_8[],5,0)</f>
        <v>INDIA</v>
      </c>
      <c r="F102" s="5" t="str">
        <f>VLOOKUP(A102,DAY_8[],6,0)</f>
        <v>HINDI</v>
      </c>
      <c r="G102" s="5" t="str">
        <f>VLOOKUP(A102,DAY_8[],7,0)</f>
        <v>MOBILE APPS</v>
      </c>
      <c r="H102" s="5">
        <f>VLOOKUP(A102,DAY_8[],8,0)</f>
        <v>0</v>
      </c>
      <c r="I102" s="5">
        <f>VLOOKUP(A102,DAY_8[],10,0)</f>
        <v>70</v>
      </c>
      <c r="J102" s="5">
        <f>VLOOKUP(A102,DAY_8[],11,0)</f>
        <v>2</v>
      </c>
    </row>
    <row r="103" spans="1:10" x14ac:dyDescent="0.25">
      <c r="A103" s="2" t="s">
        <v>232</v>
      </c>
      <c r="B103" s="2" t="str">
        <f>VLOOKUP(A103,DAY_8[],2,0)</f>
        <v>FL250102</v>
      </c>
      <c r="C103" t="str">
        <f>VLOOKUP(A103,DAY_8[],3,0)</f>
        <v>FEMALE</v>
      </c>
      <c r="D103">
        <f>VLOOKUP(A103,DAY_8[],4,0)</f>
        <v>51</v>
      </c>
      <c r="E103" t="str">
        <f>VLOOKUP(A103,DAY_8[],5,0)</f>
        <v>RUSSIA</v>
      </c>
      <c r="F103" s="5" t="str">
        <f>VLOOKUP(A103,DAY_8[],6,0)</f>
        <v>RUSSIAN</v>
      </c>
      <c r="G103" s="5" t="str">
        <f>VLOOKUP(A103,DAY_8[],7,0)</f>
        <v>GRAPHIC DESIGN</v>
      </c>
      <c r="H103" s="5">
        <f>VLOOKUP(A103,DAY_8[],8,0)</f>
        <v>2</v>
      </c>
      <c r="I103" s="5">
        <f>VLOOKUP(A103,DAY_8[],10,0)</f>
        <v>30</v>
      </c>
      <c r="J103" s="5">
        <f>VLOOKUP(A103,DAY_8[],11,0)</f>
        <v>4.5</v>
      </c>
    </row>
    <row r="104" spans="1:10" x14ac:dyDescent="0.25">
      <c r="A104" s="2" t="s">
        <v>234</v>
      </c>
      <c r="B104" s="2" t="str">
        <f>VLOOKUP(A104,DAY_8[],2,0)</f>
        <v>FL250103</v>
      </c>
      <c r="C104" t="str">
        <f>VLOOKUP(A104,DAY_8[],3,0)</f>
        <v>FEMALE</v>
      </c>
      <c r="D104">
        <f>VLOOKUP(A104,DAY_8[],4,0)</f>
        <v>50</v>
      </c>
      <c r="E104" t="str">
        <f>VLOOKUP(A104,DAY_8[],5,0)</f>
        <v>RUSSIA</v>
      </c>
      <c r="F104" s="5" t="str">
        <f>VLOOKUP(A104,DAY_8[],6,0)</f>
        <v>RUSSIAN</v>
      </c>
      <c r="G104" s="5" t="str">
        <f>VLOOKUP(A104,DAY_8[],7,0)</f>
        <v>DEVOPS</v>
      </c>
      <c r="H104" s="5">
        <f>VLOOKUP(A104,DAY_8[],8,0)</f>
        <v>30</v>
      </c>
      <c r="I104" s="5">
        <f>VLOOKUP(A104,DAY_8[],10,0)</f>
        <v>100</v>
      </c>
      <c r="J104" s="5">
        <f>VLOOKUP(A104,DAY_8[],11,0)</f>
        <v>3</v>
      </c>
    </row>
    <row r="105" spans="1:10" x14ac:dyDescent="0.25">
      <c r="A105" s="2" t="s">
        <v>236</v>
      </c>
      <c r="B105" s="2" t="str">
        <f>VLOOKUP(A105,DAY_8[],2,0)</f>
        <v>FL250104</v>
      </c>
      <c r="C105" t="str">
        <f>VLOOKUP(A105,DAY_8[],3,0)</f>
        <v>FEMALE</v>
      </c>
      <c r="D105">
        <f>VLOOKUP(A105,DAY_8[],4,0)</f>
        <v>21</v>
      </c>
      <c r="E105" t="str">
        <f>VLOOKUP(A105,DAY_8[],5,0)</f>
        <v>TURKEY</v>
      </c>
      <c r="F105" s="5" t="str">
        <f>VLOOKUP(A105,DAY_8[],6,0)</f>
        <v>TURKISH</v>
      </c>
      <c r="G105" s="5" t="str">
        <f>VLOOKUP(A105,DAY_8[],7,0)</f>
        <v>BLOCKCHAIN DEVELOPMENT</v>
      </c>
      <c r="H105" s="5">
        <f>VLOOKUP(A105,DAY_8[],8,0)</f>
        <v>2</v>
      </c>
      <c r="I105" s="5">
        <f>VLOOKUP(A105,DAY_8[],10,0)</f>
        <v>50</v>
      </c>
      <c r="J105" s="5">
        <f>VLOOKUP(A105,DAY_8[],11,0)</f>
        <v>4.9000000000000004</v>
      </c>
    </row>
    <row r="106" spans="1:10" x14ac:dyDescent="0.25">
      <c r="A106" s="2" t="s">
        <v>238</v>
      </c>
      <c r="B106" s="2" t="str">
        <f>VLOOKUP(A106,DAY_8[],2,0)</f>
        <v>FL250105</v>
      </c>
      <c r="C106" t="str">
        <f>VLOOKUP(A106,DAY_8[],3,0)</f>
        <v>MALE</v>
      </c>
      <c r="D106">
        <f>VLOOKUP(A106,DAY_8[],4,0)</f>
        <v>25</v>
      </c>
      <c r="E106" t="str">
        <f>VLOOKUP(A106,DAY_8[],5,0)</f>
        <v>US</v>
      </c>
      <c r="F106" s="5" t="str">
        <f>VLOOKUP(A106,DAY_8[],6,0)</f>
        <v>ENGLISH</v>
      </c>
      <c r="G106" s="5" t="str">
        <f>VLOOKUP(A106,DAY_8[],7,0)</f>
        <v>GRAPHIC DESIGN</v>
      </c>
      <c r="H106" s="5">
        <f>VLOOKUP(A106,DAY_8[],8,0)</f>
        <v>3</v>
      </c>
      <c r="I106" s="5">
        <f>VLOOKUP(A106,DAY_8[],10,0)</f>
        <v>30</v>
      </c>
      <c r="J106" s="5">
        <f>VLOOKUP(A106,DAY_8[],11,0)</f>
        <v>2.4</v>
      </c>
    </row>
    <row r="107" spans="1:10" x14ac:dyDescent="0.25">
      <c r="A107" s="2" t="s">
        <v>240</v>
      </c>
      <c r="B107" s="2" t="str">
        <f>VLOOKUP(A107,DAY_8[],2,0)</f>
        <v>FL250106</v>
      </c>
      <c r="C107" t="str">
        <f>VLOOKUP(A107,DAY_8[],3,0)</f>
        <v>FEMALE</v>
      </c>
      <c r="D107">
        <f>VLOOKUP(A107,DAY_8[],4,0)</f>
        <v>57</v>
      </c>
      <c r="E107" t="str">
        <f>VLOOKUP(A107,DAY_8[],5,0)</f>
        <v>FRANCE</v>
      </c>
      <c r="F107" s="5" t="str">
        <f>VLOOKUP(A107,DAY_8[],6,0)</f>
        <v>FRENCH</v>
      </c>
      <c r="G107" s="5" t="str">
        <f>VLOOKUP(A107,DAY_8[],7,0)</f>
        <v>DEVOPS</v>
      </c>
      <c r="H107" s="5">
        <f>VLOOKUP(A107,DAY_8[],8,0)</f>
        <v>21</v>
      </c>
      <c r="I107" s="5">
        <f>VLOOKUP(A107,DAY_8[],10,0)</f>
        <v>40</v>
      </c>
      <c r="J107" s="5">
        <f>VLOOKUP(A107,DAY_8[],11,0)</f>
        <v>2.4</v>
      </c>
    </row>
    <row r="108" spans="1:10" x14ac:dyDescent="0.25">
      <c r="A108" s="2" t="s">
        <v>242</v>
      </c>
      <c r="B108" s="2" t="str">
        <f>VLOOKUP(A108,DAY_8[],2,0)</f>
        <v>FL250107</v>
      </c>
      <c r="C108" t="str">
        <f>VLOOKUP(A108,DAY_8[],3,0)</f>
        <v>MALE</v>
      </c>
      <c r="D108">
        <f>VLOOKUP(A108,DAY_8[],4,0)</f>
        <v>58</v>
      </c>
      <c r="E108" t="str">
        <f>VLOOKUP(A108,DAY_8[],5,0)</f>
        <v>RUSSIA</v>
      </c>
      <c r="F108" s="5" t="str">
        <f>VLOOKUP(A108,DAY_8[],6,0)</f>
        <v>RUSSIAN</v>
      </c>
      <c r="G108" s="5" t="str">
        <f>VLOOKUP(A108,DAY_8[],7,0)</f>
        <v>BLOCKCHAIN DEVELOPMENT</v>
      </c>
      <c r="H108" s="5">
        <f>VLOOKUP(A108,DAY_8[],8,0)</f>
        <v>3</v>
      </c>
      <c r="I108" s="5">
        <f>VLOOKUP(A108,DAY_8[],10,0)</f>
        <v>70</v>
      </c>
      <c r="J108" s="5">
        <f>VLOOKUP(A108,DAY_8[],11,0)</f>
        <v>0</v>
      </c>
    </row>
    <row r="109" spans="1:10" x14ac:dyDescent="0.25">
      <c r="A109" s="2" t="s">
        <v>244</v>
      </c>
      <c r="B109" s="2" t="str">
        <f>VLOOKUP(A109,DAY_8[],2,0)</f>
        <v>FL250108</v>
      </c>
      <c r="C109" t="str">
        <f>VLOOKUP(A109,DAY_8[],3,0)</f>
        <v>FEMALE</v>
      </c>
      <c r="D109">
        <f>VLOOKUP(A109,DAY_8[],4,0)</f>
        <v>45</v>
      </c>
      <c r="E109" t="str">
        <f>VLOOKUP(A109,DAY_8[],5,0)</f>
        <v>INDONESIA</v>
      </c>
      <c r="F109" s="5" t="str">
        <f>VLOOKUP(A109,DAY_8[],6,0)</f>
        <v>INDONESIAN</v>
      </c>
      <c r="G109" s="5" t="str">
        <f>VLOOKUP(A109,DAY_8[],7,0)</f>
        <v>MOBILE APPS</v>
      </c>
      <c r="H109" s="5">
        <f>VLOOKUP(A109,DAY_8[],8,0)</f>
        <v>19</v>
      </c>
      <c r="I109" s="5">
        <f>VLOOKUP(A109,DAY_8[],10,0)</f>
        <v>40</v>
      </c>
      <c r="J109" s="5">
        <f>VLOOKUP(A109,DAY_8[],11,0)</f>
        <v>2.4</v>
      </c>
    </row>
    <row r="110" spans="1:10" x14ac:dyDescent="0.25">
      <c r="A110" s="2" t="s">
        <v>246</v>
      </c>
      <c r="B110" s="2" t="str">
        <f>VLOOKUP(A110,DAY_8[],2,0)</f>
        <v>FL250109</v>
      </c>
      <c r="C110" t="str">
        <f>VLOOKUP(A110,DAY_8[],3,0)</f>
        <v>FEMALE</v>
      </c>
      <c r="D110">
        <f>VLOOKUP(A110,DAY_8[],4,0)</f>
        <v>23</v>
      </c>
      <c r="E110" t="str">
        <f>VLOOKUP(A110,DAY_8[],5,0)</f>
        <v>US</v>
      </c>
      <c r="F110" s="5" t="str">
        <f>VLOOKUP(A110,DAY_8[],6,0)</f>
        <v>ENGLISH</v>
      </c>
      <c r="G110" s="5" t="str">
        <f>VLOOKUP(A110,DAY_8[],7,0)</f>
        <v>WEB DEVELOPMENT</v>
      </c>
      <c r="H110" s="5">
        <f>VLOOKUP(A110,DAY_8[],8,0)</f>
        <v>0</v>
      </c>
      <c r="I110" s="5">
        <f>VLOOKUP(A110,DAY_8[],10,0)</f>
        <v>20</v>
      </c>
      <c r="J110" s="5">
        <f>VLOOKUP(A110,DAY_8[],11,0)</f>
        <v>4.7</v>
      </c>
    </row>
    <row r="111" spans="1:10" x14ac:dyDescent="0.25">
      <c r="A111" s="2" t="s">
        <v>248</v>
      </c>
      <c r="B111" s="2" t="str">
        <f>VLOOKUP(A111,DAY_8[],2,0)</f>
        <v>FL250110</v>
      </c>
      <c r="C111" t="str">
        <f>VLOOKUP(A111,DAY_8[],3,0)</f>
        <v>FEMALE</v>
      </c>
      <c r="D111">
        <f>VLOOKUP(A111,DAY_8[],4,0)</f>
        <v>46</v>
      </c>
      <c r="E111" t="str">
        <f>VLOOKUP(A111,DAY_8[],5,0)</f>
        <v>US</v>
      </c>
      <c r="F111" s="5" t="str">
        <f>VLOOKUP(A111,DAY_8[],6,0)</f>
        <v>ENGLISH</v>
      </c>
      <c r="G111" s="5" t="str">
        <f>VLOOKUP(A111,DAY_8[],7,0)</f>
        <v>AI</v>
      </c>
      <c r="H111" s="5">
        <f>VLOOKUP(A111,DAY_8[],8,0)</f>
        <v>9</v>
      </c>
      <c r="I111" s="5">
        <f>VLOOKUP(A111,DAY_8[],10,0)</f>
        <v>30</v>
      </c>
      <c r="J111" s="5">
        <f>VLOOKUP(A111,DAY_8[],11,0)</f>
        <v>3.5</v>
      </c>
    </row>
    <row r="112" spans="1:10" x14ac:dyDescent="0.25">
      <c r="A112" s="2" t="s">
        <v>250</v>
      </c>
      <c r="B112" s="2" t="str">
        <f>VLOOKUP(A112,DAY_8[],2,0)</f>
        <v>FL250111</v>
      </c>
      <c r="C112" t="str">
        <f>VLOOKUP(A112,DAY_8[],3,0)</f>
        <v>MALE</v>
      </c>
      <c r="D112">
        <f>VLOOKUP(A112,DAY_8[],4,0)</f>
        <v>27</v>
      </c>
      <c r="E112" t="str">
        <f>VLOOKUP(A112,DAY_8[],5,0)</f>
        <v>ARGENTINA</v>
      </c>
      <c r="F112" s="5" t="str">
        <f>VLOOKUP(A112,DAY_8[],6,0)</f>
        <v>SPANISH</v>
      </c>
      <c r="G112" s="5" t="str">
        <f>VLOOKUP(A112,DAY_8[],7,0)</f>
        <v>UI/UX DESIGN</v>
      </c>
      <c r="H112" s="5">
        <f>VLOOKUP(A112,DAY_8[],8,0)</f>
        <v>5</v>
      </c>
      <c r="I112" s="5">
        <f>VLOOKUP(A112,DAY_8[],10,0)</f>
        <v>30</v>
      </c>
      <c r="J112" s="5">
        <f>VLOOKUP(A112,DAY_8[],11,0)</f>
        <v>2.4</v>
      </c>
    </row>
    <row r="113" spans="1:10" x14ac:dyDescent="0.25">
      <c r="A113" s="2" t="s">
        <v>252</v>
      </c>
      <c r="B113" s="2" t="str">
        <f>VLOOKUP(A113,DAY_8[],2,0)</f>
        <v>FL250112</v>
      </c>
      <c r="C113" t="str">
        <f>VLOOKUP(A113,DAY_8[],3,0)</f>
        <v>FEMALE</v>
      </c>
      <c r="D113">
        <f>VLOOKUP(A113,DAY_8[],4,0)</f>
        <v>32</v>
      </c>
      <c r="E113" t="str">
        <f>VLOOKUP(A113,DAY_8[],5,0)</f>
        <v>US</v>
      </c>
      <c r="F113" s="5" t="str">
        <f>VLOOKUP(A113,DAY_8[],6,0)</f>
        <v>ENGLISH</v>
      </c>
      <c r="G113" s="5" t="str">
        <f>VLOOKUP(A113,DAY_8[],7,0)</f>
        <v>MACHINE LEARNING</v>
      </c>
      <c r="H113" s="5">
        <f>VLOOKUP(A113,DAY_8[],8,0)</f>
        <v>6</v>
      </c>
      <c r="I113" s="5">
        <f>VLOOKUP(A113,DAY_8[],10,0)</f>
        <v>50</v>
      </c>
      <c r="J113" s="5">
        <f>VLOOKUP(A113,DAY_8[],11,0)</f>
        <v>3.4</v>
      </c>
    </row>
    <row r="114" spans="1:10" x14ac:dyDescent="0.25">
      <c r="A114" s="2" t="s">
        <v>254</v>
      </c>
      <c r="B114" s="2" t="str">
        <f>VLOOKUP(A114,DAY_8[],2,0)</f>
        <v>FL250113</v>
      </c>
      <c r="C114" t="str">
        <f>VLOOKUP(A114,DAY_8[],3,0)</f>
        <v>FEMALE</v>
      </c>
      <c r="D114">
        <f>VLOOKUP(A114,DAY_8[],4,0)</f>
        <v>48</v>
      </c>
      <c r="E114" t="str">
        <f>VLOOKUP(A114,DAY_8[],5,0)</f>
        <v>ARGENTINA</v>
      </c>
      <c r="F114" s="5" t="str">
        <f>VLOOKUP(A114,DAY_8[],6,0)</f>
        <v>SPANISH</v>
      </c>
      <c r="G114" s="5" t="str">
        <f>VLOOKUP(A114,DAY_8[],7,0)</f>
        <v>MACHINE LEARNING</v>
      </c>
      <c r="H114" s="5">
        <f>VLOOKUP(A114,DAY_8[],8,0)</f>
        <v>6</v>
      </c>
      <c r="I114" s="5">
        <f>VLOOKUP(A114,DAY_8[],10,0)</f>
        <v>75</v>
      </c>
      <c r="J114" s="5">
        <f>VLOOKUP(A114,DAY_8[],11,0)</f>
        <v>2.4</v>
      </c>
    </row>
    <row r="115" spans="1:10" x14ac:dyDescent="0.25">
      <c r="A115" s="2" t="s">
        <v>256</v>
      </c>
      <c r="B115" s="2" t="str">
        <f>VLOOKUP(A115,DAY_8[],2,0)</f>
        <v>FL250114</v>
      </c>
      <c r="C115" t="str">
        <f>VLOOKUP(A115,DAY_8[],3,0)</f>
        <v>MALE</v>
      </c>
      <c r="D115">
        <f>VLOOKUP(A115,DAY_8[],4,0)</f>
        <v>30</v>
      </c>
      <c r="E115" t="str">
        <f>VLOOKUP(A115,DAY_8[],5,0)</f>
        <v>TURKEY</v>
      </c>
      <c r="F115" s="5" t="str">
        <f>VLOOKUP(A115,DAY_8[],6,0)</f>
        <v>TURKISH</v>
      </c>
      <c r="G115" s="5" t="str">
        <f>VLOOKUP(A115,DAY_8[],7,0)</f>
        <v>MOBILE APPS</v>
      </c>
      <c r="H115" s="5">
        <f>VLOOKUP(A115,DAY_8[],8,0)</f>
        <v>3</v>
      </c>
      <c r="I115" s="5">
        <f>VLOOKUP(A115,DAY_8[],10,0)</f>
        <v>30</v>
      </c>
      <c r="J115" s="5">
        <f>VLOOKUP(A115,DAY_8[],11,0)</f>
        <v>1.1000000000000001</v>
      </c>
    </row>
    <row r="116" spans="1:10" x14ac:dyDescent="0.25">
      <c r="A116" s="2" t="s">
        <v>258</v>
      </c>
      <c r="B116" s="2" t="str">
        <f>VLOOKUP(A116,DAY_8[],2,0)</f>
        <v>FL250115</v>
      </c>
      <c r="C116" t="str">
        <f>VLOOKUP(A116,DAY_8[],3,0)</f>
        <v>MALE</v>
      </c>
      <c r="D116">
        <f>VLOOKUP(A116,DAY_8[],4,0)</f>
        <v>59</v>
      </c>
      <c r="E116" t="str">
        <f>VLOOKUP(A116,DAY_8[],5,0)</f>
        <v>TURKEY</v>
      </c>
      <c r="F116" s="5" t="str">
        <f>VLOOKUP(A116,DAY_8[],6,0)</f>
        <v>TURKISH</v>
      </c>
      <c r="G116" s="5" t="str">
        <f>VLOOKUP(A116,DAY_8[],7,0)</f>
        <v>AI</v>
      </c>
      <c r="H116" s="5">
        <f>VLOOKUP(A116,DAY_8[],8,0)</f>
        <v>13</v>
      </c>
      <c r="I116" s="5">
        <f>VLOOKUP(A116,DAY_8[],10,0)</f>
        <v>20</v>
      </c>
      <c r="J116" s="5">
        <f>VLOOKUP(A116,DAY_8[],11,0)</f>
        <v>4.8</v>
      </c>
    </row>
    <row r="117" spans="1:10" x14ac:dyDescent="0.25">
      <c r="A117" s="2" t="s">
        <v>261</v>
      </c>
      <c r="B117" s="2" t="str">
        <f>VLOOKUP(A117,DAY_8[],2,0)</f>
        <v>FL250116</v>
      </c>
      <c r="C117" t="str">
        <f>VLOOKUP(A117,DAY_8[],3,0)</f>
        <v>FEMALE</v>
      </c>
      <c r="D117">
        <f>VLOOKUP(A117,DAY_8[],4,0)</f>
        <v>32</v>
      </c>
      <c r="E117" t="str">
        <f>VLOOKUP(A117,DAY_8[],5,0)</f>
        <v>MEXICO</v>
      </c>
      <c r="F117" s="5" t="str">
        <f>VLOOKUP(A117,DAY_8[],6,0)</f>
        <v>SPANISH</v>
      </c>
      <c r="G117" s="5" t="str">
        <f>VLOOKUP(A117,DAY_8[],7,0)</f>
        <v>AI</v>
      </c>
      <c r="H117" s="5">
        <f>VLOOKUP(A117,DAY_8[],8,0)</f>
        <v>5</v>
      </c>
      <c r="I117" s="5">
        <f>VLOOKUP(A117,DAY_8[],10,0)</f>
        <v>30</v>
      </c>
      <c r="J117" s="5">
        <f>VLOOKUP(A117,DAY_8[],11,0)</f>
        <v>2.4</v>
      </c>
    </row>
    <row r="118" spans="1:10" x14ac:dyDescent="0.25">
      <c r="A118" s="2" t="s">
        <v>263</v>
      </c>
      <c r="B118" s="2" t="str">
        <f>VLOOKUP(A118,DAY_8[],2,0)</f>
        <v>FL250117</v>
      </c>
      <c r="C118" t="str">
        <f>VLOOKUP(A118,DAY_8[],3,0)</f>
        <v>FEMALE</v>
      </c>
      <c r="D118">
        <f>VLOOKUP(A118,DAY_8[],4,0)</f>
        <v>57</v>
      </c>
      <c r="E118" t="str">
        <f>VLOOKUP(A118,DAY_8[],5,0)</f>
        <v>EGYPT</v>
      </c>
      <c r="F118" s="5" t="str">
        <f>VLOOKUP(A118,DAY_8[],6,0)</f>
        <v>ARABIC</v>
      </c>
      <c r="G118" s="5" t="str">
        <f>VLOOKUP(A118,DAY_8[],7,0)</f>
        <v>UI/UX DESIGN</v>
      </c>
      <c r="H118" s="5">
        <f>VLOOKUP(A118,DAY_8[],8,0)</f>
        <v>4</v>
      </c>
      <c r="I118" s="5">
        <f>VLOOKUP(A118,DAY_8[],10,0)</f>
        <v>40</v>
      </c>
      <c r="J118" s="5">
        <f>VLOOKUP(A118,DAY_8[],11,0)</f>
        <v>3.4</v>
      </c>
    </row>
    <row r="119" spans="1:10" x14ac:dyDescent="0.25">
      <c r="A119" s="2" t="s">
        <v>265</v>
      </c>
      <c r="B119" s="2" t="str">
        <f>VLOOKUP(A119,DAY_8[],2,0)</f>
        <v>FL250118</v>
      </c>
      <c r="C119" t="str">
        <f>VLOOKUP(A119,DAY_8[],3,0)</f>
        <v>MALE</v>
      </c>
      <c r="D119">
        <f>VLOOKUP(A119,DAY_8[],4,0)</f>
        <v>27</v>
      </c>
      <c r="E119" t="str">
        <f>VLOOKUP(A119,DAY_8[],5,0)</f>
        <v>AUSTRALIA</v>
      </c>
      <c r="F119" s="5" t="str">
        <f>VLOOKUP(A119,DAY_8[],6,0)</f>
        <v>ENGLISH</v>
      </c>
      <c r="G119" s="5" t="str">
        <f>VLOOKUP(A119,DAY_8[],7,0)</f>
        <v>MACHINE LEARNING</v>
      </c>
      <c r="H119" s="5">
        <f>VLOOKUP(A119,DAY_8[],8,0)</f>
        <v>7</v>
      </c>
      <c r="I119" s="5">
        <f>VLOOKUP(A119,DAY_8[],10,0)</f>
        <v>20</v>
      </c>
      <c r="J119" s="5">
        <f>VLOOKUP(A119,DAY_8[],11,0)</f>
        <v>3.2</v>
      </c>
    </row>
    <row r="120" spans="1:10" x14ac:dyDescent="0.25">
      <c r="A120" s="2" t="s">
        <v>267</v>
      </c>
      <c r="B120" s="2" t="str">
        <f>VLOOKUP(A120,DAY_8[],2,0)</f>
        <v>FL250119</v>
      </c>
      <c r="C120" t="str">
        <f>VLOOKUP(A120,DAY_8[],3,0)</f>
        <v>FEMALE</v>
      </c>
      <c r="D120">
        <f>VLOOKUP(A120,DAY_8[],4,0)</f>
        <v>33</v>
      </c>
      <c r="E120" t="str">
        <f>VLOOKUP(A120,DAY_8[],5,0)</f>
        <v>SOUTH KOREA</v>
      </c>
      <c r="F120" s="5" t="str">
        <f>VLOOKUP(A120,DAY_8[],6,0)</f>
        <v>INDONESIAN</v>
      </c>
      <c r="G120" s="5" t="str">
        <f>VLOOKUP(A120,DAY_8[],7,0)</f>
        <v>MACHINE LEARNING</v>
      </c>
      <c r="H120" s="5">
        <f>VLOOKUP(A120,DAY_8[],8,0)</f>
        <v>13</v>
      </c>
      <c r="I120" s="5">
        <f>VLOOKUP(A120,DAY_8[],10,0)</f>
        <v>20</v>
      </c>
      <c r="J120" s="5">
        <f>VLOOKUP(A120,DAY_8[],11,0)</f>
        <v>3.2</v>
      </c>
    </row>
    <row r="121" spans="1:10" x14ac:dyDescent="0.25">
      <c r="A121" s="2" t="s">
        <v>269</v>
      </c>
      <c r="B121" s="2" t="str">
        <f>VLOOKUP(A121,DAY_8[],2,0)</f>
        <v>FL250120</v>
      </c>
      <c r="C121" t="str">
        <f>VLOOKUP(A121,DAY_8[],3,0)</f>
        <v>MALE</v>
      </c>
      <c r="D121">
        <f>VLOOKUP(A121,DAY_8[],4,0)</f>
        <v>29</v>
      </c>
      <c r="E121" t="str">
        <f>VLOOKUP(A121,DAY_8[],5,0)</f>
        <v>SOUTH KOREA</v>
      </c>
      <c r="F121" s="5" t="str">
        <f>VLOOKUP(A121,DAY_8[],6,0)</f>
        <v>KOREAN</v>
      </c>
      <c r="G121" s="5" t="str">
        <f>VLOOKUP(A121,DAY_8[],7,0)</f>
        <v>DATA ANALYSIS</v>
      </c>
      <c r="H121" s="5">
        <f>VLOOKUP(A121,DAY_8[],8,0)</f>
        <v>4</v>
      </c>
      <c r="I121" s="5">
        <f>VLOOKUP(A121,DAY_8[],10,0)</f>
        <v>30</v>
      </c>
      <c r="J121" s="5">
        <f>VLOOKUP(A121,DAY_8[],11,0)</f>
        <v>0</v>
      </c>
    </row>
    <row r="122" spans="1:10" x14ac:dyDescent="0.25">
      <c r="A122" s="2" t="s">
        <v>1069</v>
      </c>
      <c r="B122" s="2" t="str">
        <f>VLOOKUP(A122,DAY_8[],2,0)</f>
        <v>FL250121</v>
      </c>
      <c r="C122" t="str">
        <f>VLOOKUP(A122,DAY_8[],3,0)</f>
        <v>FEMALE</v>
      </c>
      <c r="D122">
        <f>VLOOKUP(A122,DAY_8[],4,0)</f>
        <v>36</v>
      </c>
      <c r="E122" t="str">
        <f>VLOOKUP(A122,DAY_8[],5,0)</f>
        <v>INDONESIA</v>
      </c>
      <c r="F122" s="5" t="str">
        <f>VLOOKUP(A122,DAY_8[],6,0)</f>
        <v>INDONESIAN</v>
      </c>
      <c r="G122" s="5" t="str">
        <f>VLOOKUP(A122,DAY_8[],7,0)</f>
        <v>UI/UX DESIGN</v>
      </c>
      <c r="H122" s="5">
        <f>VLOOKUP(A122,DAY_8[],8,0)</f>
        <v>13</v>
      </c>
      <c r="I122" s="5">
        <f>VLOOKUP(A122,DAY_8[],10,0)</f>
        <v>75</v>
      </c>
      <c r="J122" s="5">
        <f>VLOOKUP(A122,DAY_8[],11,0)</f>
        <v>2.4</v>
      </c>
    </row>
    <row r="123" spans="1:10" x14ac:dyDescent="0.25">
      <c r="A123" s="2" t="s">
        <v>272</v>
      </c>
      <c r="B123" s="2" t="str">
        <f>VLOOKUP(A123,DAY_8[],2,0)</f>
        <v>FL250122</v>
      </c>
      <c r="C123" t="str">
        <f>VLOOKUP(A123,DAY_8[],3,0)</f>
        <v>FEMALE</v>
      </c>
      <c r="D123">
        <f>VLOOKUP(A123,DAY_8[],4,0)</f>
        <v>47</v>
      </c>
      <c r="E123" t="str">
        <f>VLOOKUP(A123,DAY_8[],5,0)</f>
        <v>ITALY</v>
      </c>
      <c r="F123" s="5" t="str">
        <f>VLOOKUP(A123,DAY_8[],6,0)</f>
        <v>ITALIAN</v>
      </c>
      <c r="G123" s="5" t="str">
        <f>VLOOKUP(A123,DAY_8[],7,0)</f>
        <v>DEVOPS</v>
      </c>
      <c r="H123" s="5">
        <f>VLOOKUP(A123,DAY_8[],8,0)</f>
        <v>5</v>
      </c>
      <c r="I123" s="5">
        <f>VLOOKUP(A123,DAY_8[],10,0)</f>
        <v>40</v>
      </c>
      <c r="J123" s="5">
        <f>VLOOKUP(A123,DAY_8[],11,0)</f>
        <v>3.7</v>
      </c>
    </row>
    <row r="124" spans="1:10" x14ac:dyDescent="0.25">
      <c r="A124" s="2" t="s">
        <v>274</v>
      </c>
      <c r="B124" s="2" t="str">
        <f>VLOOKUP(A124,DAY_8[],2,0)</f>
        <v>FL250123</v>
      </c>
      <c r="C124" t="str">
        <f>VLOOKUP(A124,DAY_8[],3,0)</f>
        <v>MALE</v>
      </c>
      <c r="D124">
        <f>VLOOKUP(A124,DAY_8[],4,0)</f>
        <v>48</v>
      </c>
      <c r="E124" t="str">
        <f>VLOOKUP(A124,DAY_8[],5,0)</f>
        <v>CANADA</v>
      </c>
      <c r="F124" s="5" t="str">
        <f>VLOOKUP(A124,DAY_8[],6,0)</f>
        <v>ENGLISH</v>
      </c>
      <c r="G124" s="5" t="str">
        <f>VLOOKUP(A124,DAY_8[],7,0)</f>
        <v>MACHINE LEARNING</v>
      </c>
      <c r="H124" s="5">
        <f>VLOOKUP(A124,DAY_8[],8,0)</f>
        <v>15</v>
      </c>
      <c r="I124" s="5">
        <f>VLOOKUP(A124,DAY_8[],10,0)</f>
        <v>50</v>
      </c>
      <c r="J124" s="5">
        <f>VLOOKUP(A124,DAY_8[],11,0)</f>
        <v>1</v>
      </c>
    </row>
    <row r="125" spans="1:10" x14ac:dyDescent="0.25">
      <c r="A125" s="2" t="s">
        <v>276</v>
      </c>
      <c r="B125" s="2" t="str">
        <f>VLOOKUP(A125,DAY_8[],2,0)</f>
        <v>FL250124</v>
      </c>
      <c r="C125" t="str">
        <f>VLOOKUP(A125,DAY_8[],3,0)</f>
        <v>FEMALE</v>
      </c>
      <c r="D125">
        <f>VLOOKUP(A125,DAY_8[],4,0)</f>
        <v>27</v>
      </c>
      <c r="E125" t="str">
        <f>VLOOKUP(A125,DAY_8[],5,0)</f>
        <v>CHINA</v>
      </c>
      <c r="F125" s="5" t="str">
        <f>VLOOKUP(A125,DAY_8[],6,0)</f>
        <v>MANDARIN</v>
      </c>
      <c r="G125" s="5" t="str">
        <f>VLOOKUP(A125,DAY_8[],7,0)</f>
        <v>UI/UX DESIGN</v>
      </c>
      <c r="H125" s="5">
        <f>VLOOKUP(A125,DAY_8[],8,0)</f>
        <v>8</v>
      </c>
      <c r="I125" s="5">
        <f>VLOOKUP(A125,DAY_8[],10,0)</f>
        <v>50</v>
      </c>
      <c r="J125" s="5">
        <f>VLOOKUP(A125,DAY_8[],11,0)</f>
        <v>0</v>
      </c>
    </row>
    <row r="126" spans="1:10" x14ac:dyDescent="0.25">
      <c r="A126" s="2" t="s">
        <v>278</v>
      </c>
      <c r="B126" s="2" t="str">
        <f>VLOOKUP(A126,DAY_8[],2,0)</f>
        <v>FL250125</v>
      </c>
      <c r="C126" t="str">
        <f>VLOOKUP(A126,DAY_8[],3,0)</f>
        <v>MALE</v>
      </c>
      <c r="D126">
        <f>VLOOKUP(A126,DAY_8[],4,0)</f>
        <v>34</v>
      </c>
      <c r="E126" t="str">
        <f>VLOOKUP(A126,DAY_8[],5,0)</f>
        <v>AUSTRALIA</v>
      </c>
      <c r="F126" s="5" t="str">
        <f>VLOOKUP(A126,DAY_8[],6,0)</f>
        <v>ENGLISH</v>
      </c>
      <c r="G126" s="5" t="str">
        <f>VLOOKUP(A126,DAY_8[],7,0)</f>
        <v>WEB DEVELOPMENT</v>
      </c>
      <c r="H126" s="5">
        <f>VLOOKUP(A126,DAY_8[],8,0)</f>
        <v>10</v>
      </c>
      <c r="I126" s="5">
        <f>VLOOKUP(A126,DAY_8[],10,0)</f>
        <v>70</v>
      </c>
      <c r="J126" s="5">
        <f>VLOOKUP(A126,DAY_8[],11,0)</f>
        <v>1.7</v>
      </c>
    </row>
    <row r="127" spans="1:10" x14ac:dyDescent="0.25">
      <c r="A127" s="2" t="s">
        <v>280</v>
      </c>
      <c r="B127" s="2" t="str">
        <f>VLOOKUP(A127,DAY_8[],2,0)</f>
        <v>FL250126</v>
      </c>
      <c r="C127" t="str">
        <f>VLOOKUP(A127,DAY_8[],3,0)</f>
        <v>MALE</v>
      </c>
      <c r="D127">
        <f>VLOOKUP(A127,DAY_8[],4,0)</f>
        <v>49</v>
      </c>
      <c r="E127" t="str">
        <f>VLOOKUP(A127,DAY_8[],5,0)</f>
        <v>SOUTH KOREA</v>
      </c>
      <c r="F127" s="5" t="str">
        <f>VLOOKUP(A127,DAY_8[],6,0)</f>
        <v>KOREAN</v>
      </c>
      <c r="G127" s="5" t="str">
        <f>VLOOKUP(A127,DAY_8[],7,0)</f>
        <v>DATA ANALYSIS</v>
      </c>
      <c r="H127" s="5">
        <f>VLOOKUP(A127,DAY_8[],8,0)</f>
        <v>19</v>
      </c>
      <c r="I127" s="5">
        <f>VLOOKUP(A127,DAY_8[],10,0)</f>
        <v>70</v>
      </c>
      <c r="J127" s="5">
        <f>VLOOKUP(A127,DAY_8[],11,0)</f>
        <v>5</v>
      </c>
    </row>
    <row r="128" spans="1:10" x14ac:dyDescent="0.25">
      <c r="A128" s="2" t="s">
        <v>282</v>
      </c>
      <c r="B128" s="2" t="str">
        <f>VLOOKUP(A128,DAY_8[],2,0)</f>
        <v>FL250127</v>
      </c>
      <c r="C128" t="str">
        <f>VLOOKUP(A128,DAY_8[],3,0)</f>
        <v>MALE</v>
      </c>
      <c r="D128">
        <f>VLOOKUP(A128,DAY_8[],4,0)</f>
        <v>30</v>
      </c>
      <c r="E128" t="str">
        <f>VLOOKUP(A128,DAY_8[],5,0)</f>
        <v>BRAZIL</v>
      </c>
      <c r="F128" s="5" t="str">
        <f>VLOOKUP(A128,DAY_8[],6,0)</f>
        <v>PORTUGUESE</v>
      </c>
      <c r="G128" s="5" t="str">
        <f>VLOOKUP(A128,DAY_8[],7,0)</f>
        <v>MOBILE APPS</v>
      </c>
      <c r="H128" s="5">
        <f>VLOOKUP(A128,DAY_8[],8,0)</f>
        <v>10</v>
      </c>
      <c r="I128" s="5">
        <f>VLOOKUP(A128,DAY_8[],10,0)</f>
        <v>100</v>
      </c>
      <c r="J128" s="5">
        <f>VLOOKUP(A128,DAY_8[],11,0)</f>
        <v>1.7</v>
      </c>
    </row>
    <row r="129" spans="1:10" x14ac:dyDescent="0.25">
      <c r="A129" s="2" t="s">
        <v>284</v>
      </c>
      <c r="B129" s="2" t="str">
        <f>VLOOKUP(A129,DAY_8[],2,0)</f>
        <v>FL250128</v>
      </c>
      <c r="C129" t="str">
        <f>VLOOKUP(A129,DAY_8[],3,0)</f>
        <v>MALE</v>
      </c>
      <c r="D129">
        <f>VLOOKUP(A129,DAY_8[],4,0)</f>
        <v>31</v>
      </c>
      <c r="E129" t="str">
        <f>VLOOKUP(A129,DAY_8[],5,0)</f>
        <v>EGYPT</v>
      </c>
      <c r="F129" s="5" t="str">
        <f>VLOOKUP(A129,DAY_8[],6,0)</f>
        <v>ARABIC</v>
      </c>
      <c r="G129" s="5" t="str">
        <f>VLOOKUP(A129,DAY_8[],7,0)</f>
        <v>GRAPHIC DESIGN</v>
      </c>
      <c r="H129" s="5">
        <f>VLOOKUP(A129,DAY_8[],8,0)</f>
        <v>8</v>
      </c>
      <c r="I129" s="5">
        <f>VLOOKUP(A129,DAY_8[],10,0)</f>
        <v>40</v>
      </c>
      <c r="J129" s="5">
        <f>VLOOKUP(A129,DAY_8[],11,0)</f>
        <v>4.4000000000000004</v>
      </c>
    </row>
    <row r="130" spans="1:10" x14ac:dyDescent="0.25">
      <c r="A130" s="2" t="s">
        <v>286</v>
      </c>
      <c r="B130" s="2" t="str">
        <f>VLOOKUP(A130,DAY_8[],2,0)</f>
        <v>FL250129</v>
      </c>
      <c r="C130" t="str">
        <f>VLOOKUP(A130,DAY_8[],3,0)</f>
        <v>MALE</v>
      </c>
      <c r="D130">
        <f>VLOOKUP(A130,DAY_8[],4,0)</f>
        <v>58</v>
      </c>
      <c r="E130" t="str">
        <f>VLOOKUP(A130,DAY_8[],5,0)</f>
        <v>CHINA</v>
      </c>
      <c r="F130" s="5" t="str">
        <f>VLOOKUP(A130,DAY_8[],6,0)</f>
        <v>MANDARIN</v>
      </c>
      <c r="G130" s="5" t="str">
        <f>VLOOKUP(A130,DAY_8[],7,0)</f>
        <v>MACHINE LEARNING</v>
      </c>
      <c r="H130" s="5">
        <f>VLOOKUP(A130,DAY_8[],8,0)</f>
        <v>9</v>
      </c>
      <c r="I130" s="5">
        <f>VLOOKUP(A130,DAY_8[],10,0)</f>
        <v>20</v>
      </c>
      <c r="J130" s="5">
        <f>VLOOKUP(A130,DAY_8[],11,0)</f>
        <v>0</v>
      </c>
    </row>
    <row r="131" spans="1:10" x14ac:dyDescent="0.25">
      <c r="A131" s="2" t="s">
        <v>288</v>
      </c>
      <c r="B131" s="2" t="str">
        <f>VLOOKUP(A131,DAY_8[],2,0)</f>
        <v>FL250130</v>
      </c>
      <c r="C131" t="str">
        <f>VLOOKUP(A131,DAY_8[],3,0)</f>
        <v>MALE</v>
      </c>
      <c r="D131">
        <f>VLOOKUP(A131,DAY_8[],4,0)</f>
        <v>47</v>
      </c>
      <c r="E131" t="str">
        <f>VLOOKUP(A131,DAY_8[],5,0)</f>
        <v>FRANCE</v>
      </c>
      <c r="F131" s="5" t="str">
        <f>VLOOKUP(A131,DAY_8[],6,0)</f>
        <v>FRENCH</v>
      </c>
      <c r="G131" s="5" t="str">
        <f>VLOOKUP(A131,DAY_8[],7,0)</f>
        <v>MACHINE LEARNING</v>
      </c>
      <c r="H131" s="5">
        <f>VLOOKUP(A131,DAY_8[],8,0)</f>
        <v>13</v>
      </c>
      <c r="I131" s="5">
        <f>VLOOKUP(A131,DAY_8[],10,0)</f>
        <v>40</v>
      </c>
      <c r="J131" s="5">
        <f>VLOOKUP(A131,DAY_8[],11,0)</f>
        <v>3.4</v>
      </c>
    </row>
    <row r="132" spans="1:10" x14ac:dyDescent="0.25">
      <c r="A132" s="2" t="s">
        <v>290</v>
      </c>
      <c r="B132" s="2" t="str">
        <f>VLOOKUP(A132,DAY_8[],2,0)</f>
        <v>FL250131</v>
      </c>
      <c r="C132" t="str">
        <f>VLOOKUP(A132,DAY_8[],3,0)</f>
        <v>FEMALE</v>
      </c>
      <c r="D132">
        <f>VLOOKUP(A132,DAY_8[],4,0)</f>
        <v>45</v>
      </c>
      <c r="E132" t="str">
        <f>VLOOKUP(A132,DAY_8[],5,0)</f>
        <v>UK</v>
      </c>
      <c r="F132" s="5" t="str">
        <f>VLOOKUP(A132,DAY_8[],6,0)</f>
        <v>ENGLISH</v>
      </c>
      <c r="G132" s="5" t="str">
        <f>VLOOKUP(A132,DAY_8[],7,0)</f>
        <v>CYBERSECURITY</v>
      </c>
      <c r="H132" s="5">
        <f>VLOOKUP(A132,DAY_8[],8,0)</f>
        <v>14</v>
      </c>
      <c r="I132" s="5">
        <f>VLOOKUP(A132,DAY_8[],10,0)</f>
        <v>100</v>
      </c>
      <c r="J132" s="5">
        <f>VLOOKUP(A132,DAY_8[],11,0)</f>
        <v>1.1000000000000001</v>
      </c>
    </row>
    <row r="133" spans="1:10" x14ac:dyDescent="0.25">
      <c r="A133" s="2" t="s">
        <v>292</v>
      </c>
      <c r="B133" s="2" t="str">
        <f>VLOOKUP(A133,DAY_8[],2,0)</f>
        <v>FL250132</v>
      </c>
      <c r="C133" t="str">
        <f>VLOOKUP(A133,DAY_8[],3,0)</f>
        <v>FEMALE</v>
      </c>
      <c r="D133">
        <f>VLOOKUP(A133,DAY_8[],4,0)</f>
        <v>57</v>
      </c>
      <c r="E133" t="str">
        <f>VLOOKUP(A133,DAY_8[],5,0)</f>
        <v>FRANCE</v>
      </c>
      <c r="F133" s="5" t="str">
        <f>VLOOKUP(A133,DAY_8[],6,0)</f>
        <v>FRENCH</v>
      </c>
      <c r="G133" s="5" t="str">
        <f>VLOOKUP(A133,DAY_8[],7,0)</f>
        <v>MACHINE LEARNING</v>
      </c>
      <c r="H133" s="5">
        <f>VLOOKUP(A133,DAY_8[],8,0)</f>
        <v>0</v>
      </c>
      <c r="I133" s="5">
        <f>VLOOKUP(A133,DAY_8[],10,0)</f>
        <v>50</v>
      </c>
      <c r="J133" s="5">
        <f>VLOOKUP(A133,DAY_8[],11,0)</f>
        <v>1.6</v>
      </c>
    </row>
    <row r="134" spans="1:10" x14ac:dyDescent="0.25">
      <c r="A134" s="2" t="s">
        <v>294</v>
      </c>
      <c r="B134" s="2" t="str">
        <f>VLOOKUP(A134,DAY_8[],2,0)</f>
        <v>FL250133</v>
      </c>
      <c r="C134" t="str">
        <f>VLOOKUP(A134,DAY_8[],3,0)</f>
        <v>MALE</v>
      </c>
      <c r="D134">
        <f>VLOOKUP(A134,DAY_8[],4,0)</f>
        <v>50</v>
      </c>
      <c r="E134" t="str">
        <f>VLOOKUP(A134,DAY_8[],5,0)</f>
        <v>INDIA</v>
      </c>
      <c r="F134" s="5" t="str">
        <f>VLOOKUP(A134,DAY_8[],6,0)</f>
        <v>HINDI</v>
      </c>
      <c r="G134" s="5" t="str">
        <f>VLOOKUP(A134,DAY_8[],7,0)</f>
        <v>WEB DEVELOPMENT</v>
      </c>
      <c r="H134" s="5">
        <f>VLOOKUP(A134,DAY_8[],8,0)</f>
        <v>22</v>
      </c>
      <c r="I134" s="5">
        <f>VLOOKUP(A134,DAY_8[],10,0)</f>
        <v>100</v>
      </c>
      <c r="J134" s="5">
        <f>VLOOKUP(A134,DAY_8[],11,0)</f>
        <v>4.0999999999999996</v>
      </c>
    </row>
    <row r="135" spans="1:10" x14ac:dyDescent="0.25">
      <c r="A135" s="2" t="s">
        <v>296</v>
      </c>
      <c r="B135" s="2" t="str">
        <f>VLOOKUP(A135,DAY_8[],2,0)</f>
        <v>FL250134</v>
      </c>
      <c r="C135" t="str">
        <f>VLOOKUP(A135,DAY_8[],3,0)</f>
        <v>FEMALE</v>
      </c>
      <c r="D135">
        <f>VLOOKUP(A135,DAY_8[],4,0)</f>
        <v>41</v>
      </c>
      <c r="E135" t="str">
        <f>VLOOKUP(A135,DAY_8[],5,0)</f>
        <v>BRAZIL</v>
      </c>
      <c r="F135" s="5" t="str">
        <f>VLOOKUP(A135,DAY_8[],6,0)</f>
        <v>PORTUGUESE</v>
      </c>
      <c r="G135" s="5" t="str">
        <f>VLOOKUP(A135,DAY_8[],7,0)</f>
        <v>MACHINE LEARNING</v>
      </c>
      <c r="H135" s="5">
        <f>VLOOKUP(A135,DAY_8[],8,0)</f>
        <v>4</v>
      </c>
      <c r="I135" s="5">
        <f>VLOOKUP(A135,DAY_8[],10,0)</f>
        <v>70</v>
      </c>
      <c r="J135" s="5">
        <f>VLOOKUP(A135,DAY_8[],11,0)</f>
        <v>2.4</v>
      </c>
    </row>
    <row r="136" spans="1:10" x14ac:dyDescent="0.25">
      <c r="A136" s="2" t="s">
        <v>298</v>
      </c>
      <c r="B136" s="2" t="str">
        <f>VLOOKUP(A136,DAY_8[],2,0)</f>
        <v>FL250135</v>
      </c>
      <c r="C136" t="str">
        <f>VLOOKUP(A136,DAY_8[],3,0)</f>
        <v>FEMALE</v>
      </c>
      <c r="D136">
        <f>VLOOKUP(A136,DAY_8[],4,0)</f>
        <v>45</v>
      </c>
      <c r="E136" t="str">
        <f>VLOOKUP(A136,DAY_8[],5,0)</f>
        <v>INDONESIA</v>
      </c>
      <c r="F136" s="5" t="str">
        <f>VLOOKUP(A136,DAY_8[],6,0)</f>
        <v>INDONESIAN</v>
      </c>
      <c r="G136" s="5" t="str">
        <f>VLOOKUP(A136,DAY_8[],7,0)</f>
        <v>BLOCKCHAIN DEVELOPMENT</v>
      </c>
      <c r="H136" s="5">
        <f>VLOOKUP(A136,DAY_8[],8,0)</f>
        <v>22</v>
      </c>
      <c r="I136" s="5">
        <f>VLOOKUP(A136,DAY_8[],10,0)</f>
        <v>100</v>
      </c>
      <c r="J136" s="5">
        <f>VLOOKUP(A136,DAY_8[],11,0)</f>
        <v>4</v>
      </c>
    </row>
    <row r="137" spans="1:10" x14ac:dyDescent="0.25">
      <c r="A137" s="2" t="s">
        <v>300</v>
      </c>
      <c r="B137" s="2" t="str">
        <f>VLOOKUP(A137,DAY_8[],2,0)</f>
        <v>FL250136</v>
      </c>
      <c r="C137" t="str">
        <f>VLOOKUP(A137,DAY_8[],3,0)</f>
        <v>MALE</v>
      </c>
      <c r="D137">
        <f>VLOOKUP(A137,DAY_8[],4,0)</f>
        <v>60</v>
      </c>
      <c r="E137" t="str">
        <f>VLOOKUP(A137,DAY_8[],5,0)</f>
        <v>SOUTH AFRICA</v>
      </c>
      <c r="F137" s="5" t="str">
        <f>VLOOKUP(A137,DAY_8[],6,0)</f>
        <v>AFRIKAANS</v>
      </c>
      <c r="G137" s="5" t="str">
        <f>VLOOKUP(A137,DAY_8[],7,0)</f>
        <v>CYBERSECURITY</v>
      </c>
      <c r="H137" s="5">
        <f>VLOOKUP(A137,DAY_8[],8,0)</f>
        <v>39</v>
      </c>
      <c r="I137" s="5">
        <f>VLOOKUP(A137,DAY_8[],10,0)</f>
        <v>75</v>
      </c>
      <c r="J137" s="5">
        <f>VLOOKUP(A137,DAY_8[],11,0)</f>
        <v>1.4</v>
      </c>
    </row>
    <row r="138" spans="1:10" x14ac:dyDescent="0.25">
      <c r="A138" s="2" t="s">
        <v>302</v>
      </c>
      <c r="B138" s="2" t="str">
        <f>VLOOKUP(A138,DAY_8[],2,0)</f>
        <v>FL250137</v>
      </c>
      <c r="C138" t="str">
        <f>VLOOKUP(A138,DAY_8[],3,0)</f>
        <v>FEMALE</v>
      </c>
      <c r="D138">
        <f>VLOOKUP(A138,DAY_8[],4,0)</f>
        <v>43</v>
      </c>
      <c r="E138" t="str">
        <f>VLOOKUP(A138,DAY_8[],5,0)</f>
        <v>UK</v>
      </c>
      <c r="F138" s="5" t="str">
        <f>VLOOKUP(A138,DAY_8[],6,0)</f>
        <v>ENGLISH</v>
      </c>
      <c r="G138" s="5" t="str">
        <f>VLOOKUP(A138,DAY_8[],7,0)</f>
        <v>CYBERSECURITY</v>
      </c>
      <c r="H138" s="5">
        <f>VLOOKUP(A138,DAY_8[],8,0)</f>
        <v>5</v>
      </c>
      <c r="I138" s="5">
        <f>VLOOKUP(A138,DAY_8[],10,0)</f>
        <v>50</v>
      </c>
      <c r="J138" s="5">
        <f>VLOOKUP(A138,DAY_8[],11,0)</f>
        <v>2.4</v>
      </c>
    </row>
    <row r="139" spans="1:10" x14ac:dyDescent="0.25">
      <c r="A139" s="2" t="s">
        <v>304</v>
      </c>
      <c r="B139" s="2" t="str">
        <f>VLOOKUP(A139,DAY_8[],2,0)</f>
        <v>FL250138</v>
      </c>
      <c r="C139" t="str">
        <f>VLOOKUP(A139,DAY_8[],3,0)</f>
        <v>FEMALE</v>
      </c>
      <c r="D139">
        <f>VLOOKUP(A139,DAY_8[],4,0)</f>
        <v>39</v>
      </c>
      <c r="E139" t="str">
        <f>VLOOKUP(A139,DAY_8[],5,0)</f>
        <v>FRANCE</v>
      </c>
      <c r="F139" s="5" t="str">
        <f>VLOOKUP(A139,DAY_8[],6,0)</f>
        <v>FRENCH</v>
      </c>
      <c r="G139" s="5" t="str">
        <f>VLOOKUP(A139,DAY_8[],7,0)</f>
        <v>CYBERSECURITY</v>
      </c>
      <c r="H139" s="5">
        <f>VLOOKUP(A139,DAY_8[],8,0)</f>
        <v>5</v>
      </c>
      <c r="I139" s="5">
        <f>VLOOKUP(A139,DAY_8[],10,0)</f>
        <v>40</v>
      </c>
      <c r="J139" s="5">
        <f>VLOOKUP(A139,DAY_8[],11,0)</f>
        <v>1.2</v>
      </c>
    </row>
    <row r="140" spans="1:10" x14ac:dyDescent="0.25">
      <c r="A140" s="2" t="s">
        <v>306</v>
      </c>
      <c r="B140" s="2" t="str">
        <f>VLOOKUP(A140,DAY_8[],2,0)</f>
        <v>FL250139</v>
      </c>
      <c r="C140" t="str">
        <f>VLOOKUP(A140,DAY_8[],3,0)</f>
        <v>MALE</v>
      </c>
      <c r="D140">
        <f>VLOOKUP(A140,DAY_8[],4,0)</f>
        <v>26</v>
      </c>
      <c r="E140" t="str">
        <f>VLOOKUP(A140,DAY_8[],5,0)</f>
        <v>MEXICO</v>
      </c>
      <c r="F140" s="5" t="str">
        <f>VLOOKUP(A140,DAY_8[],6,0)</f>
        <v>SPANISH</v>
      </c>
      <c r="G140" s="5" t="str">
        <f>VLOOKUP(A140,DAY_8[],7,0)</f>
        <v>UI/UX DESIGN</v>
      </c>
      <c r="H140" s="5">
        <f>VLOOKUP(A140,DAY_8[],8,0)</f>
        <v>5</v>
      </c>
      <c r="I140" s="5">
        <f>VLOOKUP(A140,DAY_8[],10,0)</f>
        <v>50</v>
      </c>
      <c r="J140" s="5">
        <f>VLOOKUP(A140,DAY_8[],11,0)</f>
        <v>0</v>
      </c>
    </row>
    <row r="141" spans="1:10" x14ac:dyDescent="0.25">
      <c r="A141" s="2" t="s">
        <v>308</v>
      </c>
      <c r="B141" s="2" t="str">
        <f>VLOOKUP(A141,DAY_8[],2,0)</f>
        <v>FL250140</v>
      </c>
      <c r="C141" t="str">
        <f>VLOOKUP(A141,DAY_8[],3,0)</f>
        <v>MALE</v>
      </c>
      <c r="D141">
        <f>VLOOKUP(A141,DAY_8[],4,0)</f>
        <v>31</v>
      </c>
      <c r="E141" t="str">
        <f>VLOOKUP(A141,DAY_8[],5,0)</f>
        <v>GERMANY</v>
      </c>
      <c r="F141" s="5" t="str">
        <f>VLOOKUP(A141,DAY_8[],6,0)</f>
        <v>GERMANY</v>
      </c>
      <c r="G141" s="5" t="str">
        <f>VLOOKUP(A141,DAY_8[],7,0)</f>
        <v>CYBERSECURITY</v>
      </c>
      <c r="H141" s="5">
        <f>VLOOKUP(A141,DAY_8[],8,0)</f>
        <v>11</v>
      </c>
      <c r="I141" s="5">
        <f>VLOOKUP(A141,DAY_8[],10,0)</f>
        <v>50</v>
      </c>
      <c r="J141" s="5">
        <f>VLOOKUP(A141,DAY_8[],11,0)</f>
        <v>3.1</v>
      </c>
    </row>
    <row r="142" spans="1:10" x14ac:dyDescent="0.25">
      <c r="A142" s="2" t="s">
        <v>310</v>
      </c>
      <c r="B142" s="2" t="str">
        <f>VLOOKUP(A142,DAY_8[],2,0)</f>
        <v>FL250141</v>
      </c>
      <c r="C142" t="str">
        <f>VLOOKUP(A142,DAY_8[],3,0)</f>
        <v>MALE</v>
      </c>
      <c r="D142">
        <f>VLOOKUP(A142,DAY_8[],4,0)</f>
        <v>52</v>
      </c>
      <c r="E142" t="str">
        <f>VLOOKUP(A142,DAY_8[],5,0)</f>
        <v>FRANCE</v>
      </c>
      <c r="F142" s="5" t="str">
        <f>VLOOKUP(A142,DAY_8[],6,0)</f>
        <v>FRENCH</v>
      </c>
      <c r="G142" s="5" t="str">
        <f>VLOOKUP(A142,DAY_8[],7,0)</f>
        <v>UI/UX DESIGN</v>
      </c>
      <c r="H142" s="5">
        <f>VLOOKUP(A142,DAY_8[],8,0)</f>
        <v>15</v>
      </c>
      <c r="I142" s="5">
        <f>VLOOKUP(A142,DAY_8[],10,0)</f>
        <v>50</v>
      </c>
      <c r="J142" s="5">
        <f>VLOOKUP(A142,DAY_8[],11,0)</f>
        <v>0</v>
      </c>
    </row>
    <row r="143" spans="1:10" x14ac:dyDescent="0.25">
      <c r="A143" s="2" t="s">
        <v>312</v>
      </c>
      <c r="B143" s="2" t="str">
        <f>VLOOKUP(A143,DAY_8[],2,0)</f>
        <v>FL250142</v>
      </c>
      <c r="C143" t="str">
        <f>VLOOKUP(A143,DAY_8[],3,0)</f>
        <v>FEMALE</v>
      </c>
      <c r="D143">
        <f>VLOOKUP(A143,DAY_8[],4,0)</f>
        <v>34</v>
      </c>
      <c r="E143" t="str">
        <f>VLOOKUP(A143,DAY_8[],5,0)</f>
        <v>INDIA</v>
      </c>
      <c r="F143" s="5" t="str">
        <f>VLOOKUP(A143,DAY_8[],6,0)</f>
        <v>HINDI</v>
      </c>
      <c r="G143" s="5" t="str">
        <f>VLOOKUP(A143,DAY_8[],7,0)</f>
        <v>DATA ANALYSIS</v>
      </c>
      <c r="H143" s="5">
        <f>VLOOKUP(A143,DAY_8[],8,0)</f>
        <v>5</v>
      </c>
      <c r="I143" s="5">
        <f>VLOOKUP(A143,DAY_8[],10,0)</f>
        <v>20</v>
      </c>
      <c r="J143" s="5">
        <f>VLOOKUP(A143,DAY_8[],11,0)</f>
        <v>2.2000000000000002</v>
      </c>
    </row>
    <row r="144" spans="1:10" x14ac:dyDescent="0.25">
      <c r="A144" s="2" t="s">
        <v>314</v>
      </c>
      <c r="B144" s="2" t="str">
        <f>VLOOKUP(A144,DAY_8[],2,0)</f>
        <v>FL250143</v>
      </c>
      <c r="C144" t="str">
        <f>VLOOKUP(A144,DAY_8[],3,0)</f>
        <v>MALE</v>
      </c>
      <c r="D144">
        <f>VLOOKUP(A144,DAY_8[],4,0)</f>
        <v>45</v>
      </c>
      <c r="E144" t="str">
        <f>VLOOKUP(A144,DAY_8[],5,0)</f>
        <v>UK</v>
      </c>
      <c r="F144" s="5" t="str">
        <f>VLOOKUP(A144,DAY_8[],6,0)</f>
        <v>ENGLISH</v>
      </c>
      <c r="G144" s="5" t="str">
        <f>VLOOKUP(A144,DAY_8[],7,0)</f>
        <v>WEB DEVELOPMENT</v>
      </c>
      <c r="H144" s="5">
        <f>VLOOKUP(A144,DAY_8[],8,0)</f>
        <v>7</v>
      </c>
      <c r="I144" s="5">
        <f>VLOOKUP(A144,DAY_8[],10,0)</f>
        <v>75</v>
      </c>
      <c r="J144" s="5">
        <f>VLOOKUP(A144,DAY_8[],11,0)</f>
        <v>3</v>
      </c>
    </row>
    <row r="145" spans="1:10" x14ac:dyDescent="0.25">
      <c r="A145" s="2" t="s">
        <v>316</v>
      </c>
      <c r="B145" s="2" t="str">
        <f>VLOOKUP(A145,DAY_8[],2,0)</f>
        <v>FL250144</v>
      </c>
      <c r="C145" t="str">
        <f>VLOOKUP(A145,DAY_8[],3,0)</f>
        <v>MALE</v>
      </c>
      <c r="D145">
        <f>VLOOKUP(A145,DAY_8[],4,0)</f>
        <v>46</v>
      </c>
      <c r="E145" t="str">
        <f>VLOOKUP(A145,DAY_8[],5,0)</f>
        <v>UK</v>
      </c>
      <c r="F145" s="5" t="str">
        <f>VLOOKUP(A145,DAY_8[],6,0)</f>
        <v>ENGLISH</v>
      </c>
      <c r="G145" s="5" t="str">
        <f>VLOOKUP(A145,DAY_8[],7,0)</f>
        <v>CYBERSECURITY</v>
      </c>
      <c r="H145" s="5">
        <f>VLOOKUP(A145,DAY_8[],8,0)</f>
        <v>9</v>
      </c>
      <c r="I145" s="5">
        <f>VLOOKUP(A145,DAY_8[],10,0)</f>
        <v>20</v>
      </c>
      <c r="J145" s="5">
        <f>VLOOKUP(A145,DAY_8[],11,0)</f>
        <v>0</v>
      </c>
    </row>
    <row r="146" spans="1:10" x14ac:dyDescent="0.25">
      <c r="A146" s="2" t="s">
        <v>318</v>
      </c>
      <c r="B146" s="2" t="str">
        <f>VLOOKUP(A146,DAY_8[],2,0)</f>
        <v>FL250145</v>
      </c>
      <c r="C146" t="str">
        <f>VLOOKUP(A146,DAY_8[],3,0)</f>
        <v>MALE</v>
      </c>
      <c r="D146">
        <f>VLOOKUP(A146,DAY_8[],4,0)</f>
        <v>56</v>
      </c>
      <c r="E146" t="str">
        <f>VLOOKUP(A146,DAY_8[],5,0)</f>
        <v>FRANCE</v>
      </c>
      <c r="F146" s="5" t="str">
        <f>VLOOKUP(A146,DAY_8[],6,0)</f>
        <v>FRENCH</v>
      </c>
      <c r="G146" s="5" t="str">
        <f>VLOOKUP(A146,DAY_8[],7,0)</f>
        <v>UI/UX DESIGN</v>
      </c>
      <c r="H146" s="5">
        <f>VLOOKUP(A146,DAY_8[],8,0)</f>
        <v>21</v>
      </c>
      <c r="I146" s="5">
        <f>VLOOKUP(A146,DAY_8[],10,0)</f>
        <v>100</v>
      </c>
      <c r="J146" s="5">
        <f>VLOOKUP(A146,DAY_8[],11,0)</f>
        <v>0</v>
      </c>
    </row>
    <row r="147" spans="1:10" x14ac:dyDescent="0.25">
      <c r="A147" s="2" t="s">
        <v>320</v>
      </c>
      <c r="B147" s="2" t="str">
        <f>VLOOKUP(A147,DAY_8[],2,0)</f>
        <v>FL250146</v>
      </c>
      <c r="C147" t="str">
        <f>VLOOKUP(A147,DAY_8[],3,0)</f>
        <v>FEMALE</v>
      </c>
      <c r="D147">
        <f>VLOOKUP(A147,DAY_8[],4,0)</f>
        <v>59</v>
      </c>
      <c r="E147" t="str">
        <f>VLOOKUP(A147,DAY_8[],5,0)</f>
        <v>GERMANY</v>
      </c>
      <c r="F147" s="5" t="str">
        <f>VLOOKUP(A147,DAY_8[],6,0)</f>
        <v>GERMANY</v>
      </c>
      <c r="G147" s="5" t="str">
        <f>VLOOKUP(A147,DAY_8[],7,0)</f>
        <v>AI</v>
      </c>
      <c r="H147" s="5">
        <f>VLOOKUP(A147,DAY_8[],8,0)</f>
        <v>7</v>
      </c>
      <c r="I147" s="5">
        <f>VLOOKUP(A147,DAY_8[],10,0)</f>
        <v>40</v>
      </c>
      <c r="J147" s="5">
        <f>VLOOKUP(A147,DAY_8[],11,0)</f>
        <v>1.4</v>
      </c>
    </row>
    <row r="148" spans="1:10" x14ac:dyDescent="0.25">
      <c r="A148" s="2" t="s">
        <v>322</v>
      </c>
      <c r="B148" s="2" t="str">
        <f>VLOOKUP(A148,DAY_8[],2,0)</f>
        <v>FL250147</v>
      </c>
      <c r="C148" t="str">
        <f>VLOOKUP(A148,DAY_8[],3,0)</f>
        <v>FEMALE</v>
      </c>
      <c r="D148">
        <f>VLOOKUP(A148,DAY_8[],4,0)</f>
        <v>54</v>
      </c>
      <c r="E148" t="str">
        <f>VLOOKUP(A148,DAY_8[],5,0)</f>
        <v>EGYPT</v>
      </c>
      <c r="F148" s="5" t="str">
        <f>VLOOKUP(A148,DAY_8[],6,0)</f>
        <v>ARABIC</v>
      </c>
      <c r="G148" s="5" t="str">
        <f>VLOOKUP(A148,DAY_8[],7,0)</f>
        <v>BLOCKCHAIN DEVELOPMENT</v>
      </c>
      <c r="H148" s="5">
        <f>VLOOKUP(A148,DAY_8[],8,0)</f>
        <v>4</v>
      </c>
      <c r="I148" s="5">
        <f>VLOOKUP(A148,DAY_8[],10,0)</f>
        <v>70</v>
      </c>
      <c r="J148" s="5">
        <f>VLOOKUP(A148,DAY_8[],11,0)</f>
        <v>1.4</v>
      </c>
    </row>
    <row r="149" spans="1:10" x14ac:dyDescent="0.25">
      <c r="A149" s="2" t="s">
        <v>324</v>
      </c>
      <c r="B149" s="2" t="str">
        <f>VLOOKUP(A149,DAY_8[],2,0)</f>
        <v>FL250148</v>
      </c>
      <c r="C149" t="str">
        <f>VLOOKUP(A149,DAY_8[],3,0)</f>
        <v>MALE</v>
      </c>
      <c r="D149">
        <f>VLOOKUP(A149,DAY_8[],4,0)</f>
        <v>36</v>
      </c>
      <c r="E149" t="str">
        <f>VLOOKUP(A149,DAY_8[],5,0)</f>
        <v>GERMANY</v>
      </c>
      <c r="F149" s="5" t="str">
        <f>VLOOKUP(A149,DAY_8[],6,0)</f>
        <v>GERMANY</v>
      </c>
      <c r="G149" s="5" t="str">
        <f>VLOOKUP(A149,DAY_8[],7,0)</f>
        <v>UI/UX DESIGN</v>
      </c>
      <c r="H149" s="5">
        <f>VLOOKUP(A149,DAY_8[],8,0)</f>
        <v>7</v>
      </c>
      <c r="I149" s="5">
        <f>VLOOKUP(A149,DAY_8[],10,0)</f>
        <v>30</v>
      </c>
      <c r="J149" s="5">
        <f>VLOOKUP(A149,DAY_8[],11,0)</f>
        <v>0</v>
      </c>
    </row>
    <row r="150" spans="1:10" x14ac:dyDescent="0.25">
      <c r="A150" s="2" t="s">
        <v>326</v>
      </c>
      <c r="B150" s="2" t="str">
        <f>VLOOKUP(A150,DAY_8[],2,0)</f>
        <v>FL250149</v>
      </c>
      <c r="C150" t="str">
        <f>VLOOKUP(A150,DAY_8[],3,0)</f>
        <v>MALE</v>
      </c>
      <c r="D150">
        <f>VLOOKUP(A150,DAY_8[],4,0)</f>
        <v>25</v>
      </c>
      <c r="E150" t="str">
        <f>VLOOKUP(A150,DAY_8[],5,0)</f>
        <v>MEXICO</v>
      </c>
      <c r="F150" s="5" t="str">
        <f>VLOOKUP(A150,DAY_8[],6,0)</f>
        <v>SPANISH</v>
      </c>
      <c r="G150" s="5" t="str">
        <f>VLOOKUP(A150,DAY_8[],7,0)</f>
        <v>DATA ANALYSIS</v>
      </c>
      <c r="H150" s="5">
        <f>VLOOKUP(A150,DAY_8[],8,0)</f>
        <v>0</v>
      </c>
      <c r="I150" s="5">
        <f>VLOOKUP(A150,DAY_8[],10,0)</f>
        <v>40</v>
      </c>
      <c r="J150" s="5">
        <f>VLOOKUP(A150,DAY_8[],11,0)</f>
        <v>0</v>
      </c>
    </row>
    <row r="151" spans="1:10" x14ac:dyDescent="0.25">
      <c r="A151" s="2" t="s">
        <v>328</v>
      </c>
      <c r="B151" s="2" t="str">
        <f>VLOOKUP(A151,DAY_8[],2,0)</f>
        <v>FL250150</v>
      </c>
      <c r="C151" t="str">
        <f>VLOOKUP(A151,DAY_8[],3,0)</f>
        <v>FEMALE</v>
      </c>
      <c r="D151">
        <f>VLOOKUP(A151,DAY_8[],4,0)</f>
        <v>37</v>
      </c>
      <c r="E151" t="str">
        <f>VLOOKUP(A151,DAY_8[],5,0)</f>
        <v>RUSSIA</v>
      </c>
      <c r="F151" s="5" t="str">
        <f>VLOOKUP(A151,DAY_8[],6,0)</f>
        <v>RUSSIAN</v>
      </c>
      <c r="G151" s="5" t="str">
        <f>VLOOKUP(A151,DAY_8[],7,0)</f>
        <v>DATA ANALYSIS</v>
      </c>
      <c r="H151" s="5">
        <f>VLOOKUP(A151,DAY_8[],8,0)</f>
        <v>15</v>
      </c>
      <c r="I151" s="5">
        <f>VLOOKUP(A151,DAY_8[],10,0)</f>
        <v>40</v>
      </c>
      <c r="J151" s="5">
        <f>VLOOKUP(A151,DAY_8[],11,0)</f>
        <v>2.9</v>
      </c>
    </row>
    <row r="152" spans="1:10" x14ac:dyDescent="0.25">
      <c r="A152" s="2" t="s">
        <v>330</v>
      </c>
      <c r="B152" s="2" t="str">
        <f>VLOOKUP(A152,DAY_8[],2,0)</f>
        <v>FL250151</v>
      </c>
      <c r="C152" t="str">
        <f>VLOOKUP(A152,DAY_8[],3,0)</f>
        <v>MALE</v>
      </c>
      <c r="D152">
        <f>VLOOKUP(A152,DAY_8[],4,0)</f>
        <v>41</v>
      </c>
      <c r="E152" t="str">
        <f>VLOOKUP(A152,DAY_8[],5,0)</f>
        <v>TURKEY</v>
      </c>
      <c r="F152" s="5" t="str">
        <f>VLOOKUP(A152,DAY_8[],6,0)</f>
        <v>TURKISH</v>
      </c>
      <c r="G152" s="5" t="str">
        <f>VLOOKUP(A152,DAY_8[],7,0)</f>
        <v>DATA ANALYSIS</v>
      </c>
      <c r="H152" s="5">
        <f>VLOOKUP(A152,DAY_8[],8,0)</f>
        <v>10</v>
      </c>
      <c r="I152" s="5">
        <f>VLOOKUP(A152,DAY_8[],10,0)</f>
        <v>40</v>
      </c>
      <c r="J152" s="5">
        <f>VLOOKUP(A152,DAY_8[],11,0)</f>
        <v>0</v>
      </c>
    </row>
    <row r="153" spans="1:10" x14ac:dyDescent="0.25">
      <c r="A153" s="2" t="s">
        <v>332</v>
      </c>
      <c r="B153" s="2" t="str">
        <f>VLOOKUP(A153,DAY_8[],2,0)</f>
        <v>FL250152</v>
      </c>
      <c r="C153" t="str">
        <f>VLOOKUP(A153,DAY_8[],3,0)</f>
        <v>MALE</v>
      </c>
      <c r="D153">
        <f>VLOOKUP(A153,DAY_8[],4,0)</f>
        <v>29</v>
      </c>
      <c r="E153" t="str">
        <f>VLOOKUP(A153,DAY_8[],5,0)</f>
        <v>SPAIN</v>
      </c>
      <c r="F153" s="5" t="str">
        <f>VLOOKUP(A153,DAY_8[],6,0)</f>
        <v>SPANISH</v>
      </c>
      <c r="G153" s="5" t="str">
        <f>VLOOKUP(A153,DAY_8[],7,0)</f>
        <v>DATA ANALYSIS</v>
      </c>
      <c r="H153" s="5">
        <f>VLOOKUP(A153,DAY_8[],8,0)</f>
        <v>11</v>
      </c>
      <c r="I153" s="5">
        <f>VLOOKUP(A153,DAY_8[],10,0)</f>
        <v>20</v>
      </c>
      <c r="J153" s="5">
        <f>VLOOKUP(A153,DAY_8[],11,0)</f>
        <v>2.7</v>
      </c>
    </row>
    <row r="154" spans="1:10" x14ac:dyDescent="0.25">
      <c r="A154" s="2" t="s">
        <v>334</v>
      </c>
      <c r="B154" s="2" t="str">
        <f>VLOOKUP(A154,DAY_8[],2,0)</f>
        <v>FL250153</v>
      </c>
      <c r="C154" t="str">
        <f>VLOOKUP(A154,DAY_8[],3,0)</f>
        <v>FEMALE</v>
      </c>
      <c r="D154">
        <f>VLOOKUP(A154,DAY_8[],4,0)</f>
        <v>55</v>
      </c>
      <c r="E154" t="str">
        <f>VLOOKUP(A154,DAY_8[],5,0)</f>
        <v>ARGENTINA</v>
      </c>
      <c r="F154" s="5" t="str">
        <f>VLOOKUP(A154,DAY_8[],6,0)</f>
        <v>SPANISH</v>
      </c>
      <c r="G154" s="5" t="str">
        <f>VLOOKUP(A154,DAY_8[],7,0)</f>
        <v>MOBILE APPS</v>
      </c>
      <c r="H154" s="5">
        <f>VLOOKUP(A154,DAY_8[],8,0)</f>
        <v>12</v>
      </c>
      <c r="I154" s="5">
        <f>VLOOKUP(A154,DAY_8[],10,0)</f>
        <v>100</v>
      </c>
      <c r="J154" s="5">
        <f>VLOOKUP(A154,DAY_8[],11,0)</f>
        <v>1.8</v>
      </c>
    </row>
    <row r="155" spans="1:10" x14ac:dyDescent="0.25">
      <c r="A155" s="2" t="s">
        <v>336</v>
      </c>
      <c r="B155" s="2" t="str">
        <f>VLOOKUP(A155,DAY_8[],2,0)</f>
        <v>FL250154</v>
      </c>
      <c r="C155" t="str">
        <f>VLOOKUP(A155,DAY_8[],3,0)</f>
        <v>FEMALE</v>
      </c>
      <c r="D155">
        <f>VLOOKUP(A155,DAY_8[],4,0)</f>
        <v>38</v>
      </c>
      <c r="E155" t="str">
        <f>VLOOKUP(A155,DAY_8[],5,0)</f>
        <v>JAPAN</v>
      </c>
      <c r="F155" s="5" t="str">
        <f>VLOOKUP(A155,DAY_8[],6,0)</f>
        <v>JAPANESE</v>
      </c>
      <c r="G155" s="5" t="str">
        <f>VLOOKUP(A155,DAY_8[],7,0)</f>
        <v>DEVOPS</v>
      </c>
      <c r="H155" s="5">
        <f>VLOOKUP(A155,DAY_8[],8,0)</f>
        <v>20</v>
      </c>
      <c r="I155" s="5">
        <f>VLOOKUP(A155,DAY_8[],10,0)</f>
        <v>75</v>
      </c>
      <c r="J155" s="5">
        <f>VLOOKUP(A155,DAY_8[],11,0)</f>
        <v>1.1000000000000001</v>
      </c>
    </row>
    <row r="156" spans="1:10" x14ac:dyDescent="0.25">
      <c r="A156" s="2" t="s">
        <v>338</v>
      </c>
      <c r="B156" s="2" t="str">
        <f>VLOOKUP(A156,DAY_8[],2,0)</f>
        <v>FL250155</v>
      </c>
      <c r="C156" t="str">
        <f>VLOOKUP(A156,DAY_8[],3,0)</f>
        <v>MALE</v>
      </c>
      <c r="D156">
        <f>VLOOKUP(A156,DAY_8[],4,0)</f>
        <v>47</v>
      </c>
      <c r="E156" t="str">
        <f>VLOOKUP(A156,DAY_8[],5,0)</f>
        <v>SOUTH KOREA</v>
      </c>
      <c r="F156" s="5" t="str">
        <f>VLOOKUP(A156,DAY_8[],6,0)</f>
        <v>KOREAN</v>
      </c>
      <c r="G156" s="5" t="str">
        <f>VLOOKUP(A156,DAY_8[],7,0)</f>
        <v>DEVOPS</v>
      </c>
      <c r="H156" s="5">
        <f>VLOOKUP(A156,DAY_8[],8,0)</f>
        <v>29</v>
      </c>
      <c r="I156" s="5">
        <f>VLOOKUP(A156,DAY_8[],10,0)</f>
        <v>40</v>
      </c>
      <c r="J156" s="5">
        <f>VLOOKUP(A156,DAY_8[],11,0)</f>
        <v>4.3</v>
      </c>
    </row>
    <row r="157" spans="1:10" x14ac:dyDescent="0.25">
      <c r="A157" s="2" t="s">
        <v>340</v>
      </c>
      <c r="B157" s="2" t="str">
        <f>VLOOKUP(A157,DAY_8[],2,0)</f>
        <v>FL250156</v>
      </c>
      <c r="C157" t="str">
        <f>VLOOKUP(A157,DAY_8[],3,0)</f>
        <v>MALE</v>
      </c>
      <c r="D157">
        <f>VLOOKUP(A157,DAY_8[],4,0)</f>
        <v>60</v>
      </c>
      <c r="E157" t="str">
        <f>VLOOKUP(A157,DAY_8[],5,0)</f>
        <v>BRAZIL</v>
      </c>
      <c r="F157" s="5" t="str">
        <f>VLOOKUP(A157,DAY_8[],6,0)</f>
        <v>PORTUGUESE</v>
      </c>
      <c r="G157" s="5" t="str">
        <f>VLOOKUP(A157,DAY_8[],7,0)</f>
        <v>WEB DEVELOPMENT</v>
      </c>
      <c r="H157" s="5">
        <f>VLOOKUP(A157,DAY_8[],8,0)</f>
        <v>15</v>
      </c>
      <c r="I157" s="5">
        <f>VLOOKUP(A157,DAY_8[],10,0)</f>
        <v>100</v>
      </c>
      <c r="J157" s="5">
        <f>VLOOKUP(A157,DAY_8[],11,0)</f>
        <v>1.5</v>
      </c>
    </row>
    <row r="158" spans="1:10" x14ac:dyDescent="0.25">
      <c r="A158" s="2" t="s">
        <v>342</v>
      </c>
      <c r="B158" s="2" t="str">
        <f>VLOOKUP(A158,DAY_8[],2,0)</f>
        <v>FL250157</v>
      </c>
      <c r="C158" t="str">
        <f>VLOOKUP(A158,DAY_8[],3,0)</f>
        <v>FEMALE</v>
      </c>
      <c r="D158">
        <f>VLOOKUP(A158,DAY_8[],4,0)</f>
        <v>43</v>
      </c>
      <c r="E158" t="str">
        <f>VLOOKUP(A158,DAY_8[],5,0)</f>
        <v>ITALY</v>
      </c>
      <c r="F158" s="5" t="str">
        <f>VLOOKUP(A158,DAY_8[],6,0)</f>
        <v>ITALIAN</v>
      </c>
      <c r="G158" s="5" t="str">
        <f>VLOOKUP(A158,DAY_8[],7,0)</f>
        <v>DATA ANALYSIS</v>
      </c>
      <c r="H158" s="5">
        <f>VLOOKUP(A158,DAY_8[],8,0)</f>
        <v>9</v>
      </c>
      <c r="I158" s="5">
        <f>VLOOKUP(A158,DAY_8[],10,0)</f>
        <v>20</v>
      </c>
      <c r="J158" s="5">
        <f>VLOOKUP(A158,DAY_8[],11,0)</f>
        <v>2.2000000000000002</v>
      </c>
    </row>
    <row r="159" spans="1:10" x14ac:dyDescent="0.25">
      <c r="A159" s="2" t="s">
        <v>344</v>
      </c>
      <c r="B159" s="2" t="str">
        <f>VLOOKUP(A159,DAY_8[],2,0)</f>
        <v>FL250158</v>
      </c>
      <c r="C159" t="str">
        <f>VLOOKUP(A159,DAY_8[],3,0)</f>
        <v>MALE</v>
      </c>
      <c r="D159">
        <f>VLOOKUP(A159,DAY_8[],4,0)</f>
        <v>56</v>
      </c>
      <c r="E159" t="str">
        <f>VLOOKUP(A159,DAY_8[],5,0)</f>
        <v>SOUTH AFRICA</v>
      </c>
      <c r="F159" s="5" t="str">
        <f>VLOOKUP(A159,DAY_8[],6,0)</f>
        <v>AFRIKAANS</v>
      </c>
      <c r="G159" s="5" t="str">
        <f>VLOOKUP(A159,DAY_8[],7,0)</f>
        <v>DATA ANALYSIS</v>
      </c>
      <c r="H159" s="5">
        <f>VLOOKUP(A159,DAY_8[],8,0)</f>
        <v>10</v>
      </c>
      <c r="I159" s="5">
        <f>VLOOKUP(A159,DAY_8[],10,0)</f>
        <v>100</v>
      </c>
      <c r="J159" s="5">
        <f>VLOOKUP(A159,DAY_8[],11,0)</f>
        <v>3.2</v>
      </c>
    </row>
    <row r="160" spans="1:10" x14ac:dyDescent="0.25">
      <c r="A160" s="2" t="s">
        <v>346</v>
      </c>
      <c r="B160" s="2" t="str">
        <f>VLOOKUP(A160,DAY_8[],2,0)</f>
        <v>FL250159</v>
      </c>
      <c r="C160" t="str">
        <f>VLOOKUP(A160,DAY_8[],3,0)</f>
        <v>MALE</v>
      </c>
      <c r="D160">
        <f>VLOOKUP(A160,DAY_8[],4,0)</f>
        <v>42</v>
      </c>
      <c r="E160" t="str">
        <f>VLOOKUP(A160,DAY_8[],5,0)</f>
        <v>RUSSIA</v>
      </c>
      <c r="F160" s="5" t="str">
        <f>VLOOKUP(A160,DAY_8[],6,0)</f>
        <v>RUSSIAN</v>
      </c>
      <c r="G160" s="5" t="str">
        <f>VLOOKUP(A160,DAY_8[],7,0)</f>
        <v>DEVOPS</v>
      </c>
      <c r="H160" s="5">
        <f>VLOOKUP(A160,DAY_8[],8,0)</f>
        <v>2</v>
      </c>
      <c r="I160" s="5">
        <f>VLOOKUP(A160,DAY_8[],10,0)</f>
        <v>50</v>
      </c>
      <c r="J160" s="5">
        <f>VLOOKUP(A160,DAY_8[],11,0)</f>
        <v>1.9</v>
      </c>
    </row>
    <row r="161" spans="1:10" x14ac:dyDescent="0.25">
      <c r="A161" s="2" t="s">
        <v>348</v>
      </c>
      <c r="B161" s="2" t="str">
        <f>VLOOKUP(A161,DAY_8[],2,0)</f>
        <v>FL250160</v>
      </c>
      <c r="C161" t="str">
        <f>VLOOKUP(A161,DAY_8[],3,0)</f>
        <v>FEMALE</v>
      </c>
      <c r="D161">
        <f>VLOOKUP(A161,DAY_8[],4,0)</f>
        <v>20</v>
      </c>
      <c r="E161" t="str">
        <f>VLOOKUP(A161,DAY_8[],5,0)</f>
        <v>SPAIN</v>
      </c>
      <c r="F161" s="5" t="str">
        <f>VLOOKUP(A161,DAY_8[],6,0)</f>
        <v>SPANISH</v>
      </c>
      <c r="G161" s="5" t="str">
        <f>VLOOKUP(A161,DAY_8[],7,0)</f>
        <v>GRAPHIC DESIGN</v>
      </c>
      <c r="H161" s="5">
        <f>VLOOKUP(A161,DAY_8[],8,0)</f>
        <v>0</v>
      </c>
      <c r="I161" s="5">
        <f>VLOOKUP(A161,DAY_8[],10,0)</f>
        <v>40</v>
      </c>
      <c r="J161" s="5">
        <f>VLOOKUP(A161,DAY_8[],11,0)</f>
        <v>2.4</v>
      </c>
    </row>
    <row r="162" spans="1:10" x14ac:dyDescent="0.25">
      <c r="A162" s="2" t="s">
        <v>350</v>
      </c>
      <c r="B162" s="2" t="str">
        <f>VLOOKUP(A162,DAY_8[],2,0)</f>
        <v>FL250161</v>
      </c>
      <c r="C162" t="str">
        <f>VLOOKUP(A162,DAY_8[],3,0)</f>
        <v>FEMALE</v>
      </c>
      <c r="D162">
        <f>VLOOKUP(A162,DAY_8[],4,0)</f>
        <v>47</v>
      </c>
      <c r="E162" t="str">
        <f>VLOOKUP(A162,DAY_8[],5,0)</f>
        <v>INDONESIA</v>
      </c>
      <c r="F162" s="5" t="str">
        <f>VLOOKUP(A162,DAY_8[],6,0)</f>
        <v>INDONESIAN</v>
      </c>
      <c r="G162" s="5" t="str">
        <f>VLOOKUP(A162,DAY_8[],7,0)</f>
        <v>UI/UX DESIGN</v>
      </c>
      <c r="H162" s="5">
        <f>VLOOKUP(A162,DAY_8[],8,0)</f>
        <v>12</v>
      </c>
      <c r="I162" s="5">
        <f>VLOOKUP(A162,DAY_8[],10,0)</f>
        <v>40</v>
      </c>
      <c r="J162" s="5">
        <f>VLOOKUP(A162,DAY_8[],11,0)</f>
        <v>4.5</v>
      </c>
    </row>
    <row r="163" spans="1:10" x14ac:dyDescent="0.25">
      <c r="A163" s="2" t="s">
        <v>352</v>
      </c>
      <c r="B163" s="2" t="str">
        <f>VLOOKUP(A163,DAY_8[],2,0)</f>
        <v>FL250162</v>
      </c>
      <c r="C163" t="str">
        <f>VLOOKUP(A163,DAY_8[],3,0)</f>
        <v>MALE</v>
      </c>
      <c r="D163">
        <f>VLOOKUP(A163,DAY_8[],4,0)</f>
        <v>41</v>
      </c>
      <c r="E163" t="str">
        <f>VLOOKUP(A163,DAY_8[],5,0)</f>
        <v>ARGENTINA</v>
      </c>
      <c r="F163" s="5" t="str">
        <f>VLOOKUP(A163,DAY_8[],6,0)</f>
        <v>SPANISH</v>
      </c>
      <c r="G163" s="5" t="str">
        <f>VLOOKUP(A163,DAY_8[],7,0)</f>
        <v>DATA ANALYSIS</v>
      </c>
      <c r="H163" s="5">
        <f>VLOOKUP(A163,DAY_8[],8,0)</f>
        <v>12</v>
      </c>
      <c r="I163" s="5">
        <f>VLOOKUP(A163,DAY_8[],10,0)</f>
        <v>30</v>
      </c>
      <c r="J163" s="5">
        <f>VLOOKUP(A163,DAY_8[],11,0)</f>
        <v>4.0999999999999996</v>
      </c>
    </row>
    <row r="164" spans="1:10" x14ac:dyDescent="0.25">
      <c r="A164" s="2" t="s">
        <v>354</v>
      </c>
      <c r="B164" s="2" t="str">
        <f>VLOOKUP(A164,DAY_8[],2,0)</f>
        <v>FL250163</v>
      </c>
      <c r="C164" t="str">
        <f>VLOOKUP(A164,DAY_8[],3,0)</f>
        <v>MALE</v>
      </c>
      <c r="D164">
        <f>VLOOKUP(A164,DAY_8[],4,0)</f>
        <v>56</v>
      </c>
      <c r="E164" t="str">
        <f>VLOOKUP(A164,DAY_8[],5,0)</f>
        <v>INDONESIA</v>
      </c>
      <c r="F164" s="5" t="str">
        <f>VLOOKUP(A164,DAY_8[],6,0)</f>
        <v>INDONESIAN</v>
      </c>
      <c r="G164" s="5" t="str">
        <f>VLOOKUP(A164,DAY_8[],7,0)</f>
        <v>DEVOPS</v>
      </c>
      <c r="H164" s="5">
        <f>VLOOKUP(A164,DAY_8[],8,0)</f>
        <v>15</v>
      </c>
      <c r="I164" s="5">
        <f>VLOOKUP(A164,DAY_8[],10,0)</f>
        <v>75</v>
      </c>
      <c r="J164" s="5">
        <f>VLOOKUP(A164,DAY_8[],11,0)</f>
        <v>0</v>
      </c>
    </row>
    <row r="165" spans="1:10" x14ac:dyDescent="0.25">
      <c r="A165" s="2" t="s">
        <v>356</v>
      </c>
      <c r="B165" s="2" t="str">
        <f>VLOOKUP(A165,DAY_8[],2,0)</f>
        <v>FL250164</v>
      </c>
      <c r="C165" t="str">
        <f>VLOOKUP(A165,DAY_8[],3,0)</f>
        <v>MALE</v>
      </c>
      <c r="D165">
        <f>VLOOKUP(A165,DAY_8[],4,0)</f>
        <v>59</v>
      </c>
      <c r="E165" t="str">
        <f>VLOOKUP(A165,DAY_8[],5,0)</f>
        <v>UK</v>
      </c>
      <c r="F165" s="5" t="str">
        <f>VLOOKUP(A165,DAY_8[],6,0)</f>
        <v>ENGLISH</v>
      </c>
      <c r="G165" s="5" t="str">
        <f>VLOOKUP(A165,DAY_8[],7,0)</f>
        <v>DEVOPS</v>
      </c>
      <c r="H165" s="5">
        <f>VLOOKUP(A165,DAY_8[],8,0)</f>
        <v>29</v>
      </c>
      <c r="I165" s="5">
        <f>VLOOKUP(A165,DAY_8[],10,0)</f>
        <v>75</v>
      </c>
      <c r="J165" s="5">
        <f>VLOOKUP(A165,DAY_8[],11,0)</f>
        <v>2.4</v>
      </c>
    </row>
    <row r="166" spans="1:10" x14ac:dyDescent="0.25">
      <c r="A166" s="2" t="s">
        <v>358</v>
      </c>
      <c r="B166" s="2" t="str">
        <f>VLOOKUP(A166,DAY_8[],2,0)</f>
        <v>FL250165</v>
      </c>
      <c r="C166" t="str">
        <f>VLOOKUP(A166,DAY_8[],3,0)</f>
        <v>MALE</v>
      </c>
      <c r="D166">
        <f>VLOOKUP(A166,DAY_8[],4,0)</f>
        <v>56</v>
      </c>
      <c r="E166" t="str">
        <f>VLOOKUP(A166,DAY_8[],5,0)</f>
        <v>JAPAN</v>
      </c>
      <c r="F166" s="5" t="str">
        <f>VLOOKUP(A166,DAY_8[],6,0)</f>
        <v>JAPANESE</v>
      </c>
      <c r="G166" s="5" t="str">
        <f>VLOOKUP(A166,DAY_8[],7,0)</f>
        <v>CYBERSECURITY</v>
      </c>
      <c r="H166" s="5">
        <f>VLOOKUP(A166,DAY_8[],8,0)</f>
        <v>15</v>
      </c>
      <c r="I166" s="5">
        <f>VLOOKUP(A166,DAY_8[],10,0)</f>
        <v>40</v>
      </c>
      <c r="J166" s="5">
        <f>VLOOKUP(A166,DAY_8[],11,0)</f>
        <v>3.7</v>
      </c>
    </row>
    <row r="167" spans="1:10" x14ac:dyDescent="0.25">
      <c r="A167" s="2" t="s">
        <v>360</v>
      </c>
      <c r="B167" s="2" t="str">
        <f>VLOOKUP(A167,DAY_8[],2,0)</f>
        <v>FL250166</v>
      </c>
      <c r="C167" t="str">
        <f>VLOOKUP(A167,DAY_8[],3,0)</f>
        <v>FEMALE</v>
      </c>
      <c r="D167">
        <f>VLOOKUP(A167,DAY_8[],4,0)</f>
        <v>31</v>
      </c>
      <c r="E167" t="str">
        <f>VLOOKUP(A167,DAY_8[],5,0)</f>
        <v>SOUTH AFRICA</v>
      </c>
      <c r="F167" s="5" t="str">
        <f>VLOOKUP(A167,DAY_8[],6,0)</f>
        <v>AFRIKAANS</v>
      </c>
      <c r="G167" s="5" t="str">
        <f>VLOOKUP(A167,DAY_8[],7,0)</f>
        <v>WEB DEVELOPMENT</v>
      </c>
      <c r="H167" s="5">
        <f>VLOOKUP(A167,DAY_8[],8,0)</f>
        <v>10</v>
      </c>
      <c r="I167" s="5">
        <f>VLOOKUP(A167,DAY_8[],10,0)</f>
        <v>75</v>
      </c>
      <c r="J167" s="5">
        <f>VLOOKUP(A167,DAY_8[],11,0)</f>
        <v>1.3</v>
      </c>
    </row>
    <row r="168" spans="1:10" x14ac:dyDescent="0.25">
      <c r="A168" s="2" t="s">
        <v>362</v>
      </c>
      <c r="B168" s="2" t="str">
        <f>VLOOKUP(A168,DAY_8[],2,0)</f>
        <v>FL250167</v>
      </c>
      <c r="C168" t="str">
        <f>VLOOKUP(A168,DAY_8[],3,0)</f>
        <v>MALE</v>
      </c>
      <c r="D168">
        <f>VLOOKUP(A168,DAY_8[],4,0)</f>
        <v>60</v>
      </c>
      <c r="E168" t="str">
        <f>VLOOKUP(A168,DAY_8[],5,0)</f>
        <v>SOUTH KOREA</v>
      </c>
      <c r="F168" s="5" t="str">
        <f>VLOOKUP(A168,DAY_8[],6,0)</f>
        <v>KOREAN</v>
      </c>
      <c r="G168" s="5" t="str">
        <f>VLOOKUP(A168,DAY_8[],7,0)</f>
        <v>MOBILE APPS</v>
      </c>
      <c r="H168" s="5">
        <f>VLOOKUP(A168,DAY_8[],8,0)</f>
        <v>33</v>
      </c>
      <c r="I168" s="5">
        <f>VLOOKUP(A168,DAY_8[],10,0)</f>
        <v>40</v>
      </c>
      <c r="J168" s="5">
        <f>VLOOKUP(A168,DAY_8[],11,0)</f>
        <v>3.6</v>
      </c>
    </row>
    <row r="169" spans="1:10" x14ac:dyDescent="0.25">
      <c r="A169" s="2" t="s">
        <v>364</v>
      </c>
      <c r="B169" s="2" t="str">
        <f>VLOOKUP(A169,DAY_8[],2,0)</f>
        <v>FL250168</v>
      </c>
      <c r="C169" t="str">
        <f>VLOOKUP(A169,DAY_8[],3,0)</f>
        <v>FEMALE</v>
      </c>
      <c r="D169">
        <f>VLOOKUP(A169,DAY_8[],4,0)</f>
        <v>31</v>
      </c>
      <c r="E169" t="str">
        <f>VLOOKUP(A169,DAY_8[],5,0)</f>
        <v>CANADA</v>
      </c>
      <c r="F169" s="5" t="str">
        <f>VLOOKUP(A169,DAY_8[],6,0)</f>
        <v>ENGLISH</v>
      </c>
      <c r="G169" s="5" t="str">
        <f>VLOOKUP(A169,DAY_8[],7,0)</f>
        <v>WEB DEVELOPMENT</v>
      </c>
      <c r="H169" s="5">
        <f>VLOOKUP(A169,DAY_8[],8,0)</f>
        <v>10</v>
      </c>
      <c r="I169" s="5">
        <f>VLOOKUP(A169,DAY_8[],10,0)</f>
        <v>75</v>
      </c>
      <c r="J169" s="5">
        <f>VLOOKUP(A169,DAY_8[],11,0)</f>
        <v>0</v>
      </c>
    </row>
    <row r="170" spans="1:10" x14ac:dyDescent="0.25">
      <c r="A170" s="2" t="s">
        <v>366</v>
      </c>
      <c r="B170" s="2" t="str">
        <f>VLOOKUP(A170,DAY_8[],2,0)</f>
        <v>FL250169</v>
      </c>
      <c r="C170" t="str">
        <f>VLOOKUP(A170,DAY_8[],3,0)</f>
        <v>MALE</v>
      </c>
      <c r="D170">
        <f>VLOOKUP(A170,DAY_8[],4,0)</f>
        <v>60</v>
      </c>
      <c r="E170" t="str">
        <f>VLOOKUP(A170,DAY_8[],5,0)</f>
        <v>ARGENTINA</v>
      </c>
      <c r="F170" s="5" t="str">
        <f>VLOOKUP(A170,DAY_8[],6,0)</f>
        <v>SPANISH</v>
      </c>
      <c r="G170" s="5" t="str">
        <f>VLOOKUP(A170,DAY_8[],7,0)</f>
        <v>CYBERSECURITY</v>
      </c>
      <c r="H170" s="5">
        <f>VLOOKUP(A170,DAY_8[],8,0)</f>
        <v>20</v>
      </c>
      <c r="I170" s="5">
        <f>VLOOKUP(A170,DAY_8[],10,0)</f>
        <v>40</v>
      </c>
      <c r="J170" s="5">
        <f>VLOOKUP(A170,DAY_8[],11,0)</f>
        <v>1.4</v>
      </c>
    </row>
    <row r="171" spans="1:10" x14ac:dyDescent="0.25">
      <c r="A171" s="2" t="s">
        <v>368</v>
      </c>
      <c r="B171" s="2" t="str">
        <f>VLOOKUP(A171,DAY_8[],2,0)</f>
        <v>FL250170</v>
      </c>
      <c r="C171" t="str">
        <f>VLOOKUP(A171,DAY_8[],3,0)</f>
        <v>MALE</v>
      </c>
      <c r="D171">
        <f>VLOOKUP(A171,DAY_8[],4,0)</f>
        <v>46</v>
      </c>
      <c r="E171" t="str">
        <f>VLOOKUP(A171,DAY_8[],5,0)</f>
        <v>FRANCE</v>
      </c>
      <c r="F171" s="5" t="str">
        <f>VLOOKUP(A171,DAY_8[],6,0)</f>
        <v>FRENCH</v>
      </c>
      <c r="G171" s="5" t="str">
        <f>VLOOKUP(A171,DAY_8[],7,0)</f>
        <v>DEVOPS</v>
      </c>
      <c r="H171" s="5">
        <f>VLOOKUP(A171,DAY_8[],8,0)</f>
        <v>23</v>
      </c>
      <c r="I171" s="5">
        <f>VLOOKUP(A171,DAY_8[],10,0)</f>
        <v>20</v>
      </c>
      <c r="J171" s="5">
        <f>VLOOKUP(A171,DAY_8[],11,0)</f>
        <v>2.9</v>
      </c>
    </row>
    <row r="172" spans="1:10" x14ac:dyDescent="0.25">
      <c r="A172" s="2" t="s">
        <v>370</v>
      </c>
      <c r="B172" s="2" t="str">
        <f>VLOOKUP(A172,DAY_8[],2,0)</f>
        <v>FL250171</v>
      </c>
      <c r="C172" t="str">
        <f>VLOOKUP(A172,DAY_8[],3,0)</f>
        <v>FEMALE</v>
      </c>
      <c r="D172">
        <f>VLOOKUP(A172,DAY_8[],4,0)</f>
        <v>41</v>
      </c>
      <c r="E172" t="str">
        <f>VLOOKUP(A172,DAY_8[],5,0)</f>
        <v>NETHERLANDS</v>
      </c>
      <c r="F172" s="5" t="str">
        <f>VLOOKUP(A172,DAY_8[],6,0)</f>
        <v>DUTCH</v>
      </c>
      <c r="G172" s="5" t="str">
        <f>VLOOKUP(A172,DAY_8[],7,0)</f>
        <v>BLOCKCHAIN DEVELOPMENT</v>
      </c>
      <c r="H172" s="5">
        <f>VLOOKUP(A172,DAY_8[],8,0)</f>
        <v>10</v>
      </c>
      <c r="I172" s="5">
        <f>VLOOKUP(A172,DAY_8[],10,0)</f>
        <v>40</v>
      </c>
      <c r="J172" s="5">
        <f>VLOOKUP(A172,DAY_8[],11,0)</f>
        <v>2.8</v>
      </c>
    </row>
    <row r="173" spans="1:10" x14ac:dyDescent="0.25">
      <c r="A173" s="2" t="s">
        <v>372</v>
      </c>
      <c r="B173" s="2" t="str">
        <f>VLOOKUP(A173,DAY_8[],2,0)</f>
        <v>FL250172</v>
      </c>
      <c r="C173" t="str">
        <f>VLOOKUP(A173,DAY_8[],3,0)</f>
        <v>MALE</v>
      </c>
      <c r="D173">
        <f>VLOOKUP(A173,DAY_8[],4,0)</f>
        <v>34</v>
      </c>
      <c r="E173" t="str">
        <f>VLOOKUP(A173,DAY_8[],5,0)</f>
        <v>JAPAN</v>
      </c>
      <c r="F173" s="5" t="str">
        <f>VLOOKUP(A173,DAY_8[],6,0)</f>
        <v>JAPANESE</v>
      </c>
      <c r="G173" s="5" t="str">
        <f>VLOOKUP(A173,DAY_8[],7,0)</f>
        <v>UI/UX DESIGN</v>
      </c>
      <c r="H173" s="5">
        <f>VLOOKUP(A173,DAY_8[],8,0)</f>
        <v>0</v>
      </c>
      <c r="I173" s="5">
        <f>VLOOKUP(A173,DAY_8[],10,0)</f>
        <v>20</v>
      </c>
      <c r="J173" s="5">
        <f>VLOOKUP(A173,DAY_8[],11,0)</f>
        <v>1.7</v>
      </c>
    </row>
    <row r="174" spans="1:10" x14ac:dyDescent="0.25">
      <c r="A174" s="2" t="s">
        <v>374</v>
      </c>
      <c r="B174" s="2" t="str">
        <f>VLOOKUP(A174,DAY_8[],2,0)</f>
        <v>FL250173</v>
      </c>
      <c r="C174" t="str">
        <f>VLOOKUP(A174,DAY_8[],3,0)</f>
        <v>FEMALE</v>
      </c>
      <c r="D174">
        <f>VLOOKUP(A174,DAY_8[],4,0)</f>
        <v>42</v>
      </c>
      <c r="E174" t="str">
        <f>VLOOKUP(A174,DAY_8[],5,0)</f>
        <v>NETHERLANDS</v>
      </c>
      <c r="F174" s="5" t="str">
        <f>VLOOKUP(A174,DAY_8[],6,0)</f>
        <v>DUTCH</v>
      </c>
      <c r="G174" s="5" t="str">
        <f>VLOOKUP(A174,DAY_8[],7,0)</f>
        <v>GRAPHIC DESIGN</v>
      </c>
      <c r="H174" s="5">
        <f>VLOOKUP(A174,DAY_8[],8,0)</f>
        <v>7</v>
      </c>
      <c r="I174" s="5">
        <f>VLOOKUP(A174,DAY_8[],10,0)</f>
        <v>40</v>
      </c>
      <c r="J174" s="5">
        <f>VLOOKUP(A174,DAY_8[],11,0)</f>
        <v>0</v>
      </c>
    </row>
    <row r="175" spans="1:10" x14ac:dyDescent="0.25">
      <c r="A175" s="2" t="s">
        <v>376</v>
      </c>
      <c r="B175" s="2" t="str">
        <f>VLOOKUP(A175,DAY_8[],2,0)</f>
        <v>FL250174</v>
      </c>
      <c r="C175" t="str">
        <f>VLOOKUP(A175,DAY_8[],3,0)</f>
        <v>MALE</v>
      </c>
      <c r="D175">
        <f>VLOOKUP(A175,DAY_8[],4,0)</f>
        <v>31</v>
      </c>
      <c r="E175" t="str">
        <f>VLOOKUP(A175,DAY_8[],5,0)</f>
        <v>UK</v>
      </c>
      <c r="F175" s="5" t="str">
        <f>VLOOKUP(A175,DAY_8[],6,0)</f>
        <v>ENGLISH</v>
      </c>
      <c r="G175" s="5" t="str">
        <f>VLOOKUP(A175,DAY_8[],7,0)</f>
        <v>DATA ANALYSIS</v>
      </c>
      <c r="H175" s="5">
        <f>VLOOKUP(A175,DAY_8[],8,0)</f>
        <v>4</v>
      </c>
      <c r="I175" s="5">
        <f>VLOOKUP(A175,DAY_8[],10,0)</f>
        <v>75</v>
      </c>
      <c r="J175" s="5">
        <f>VLOOKUP(A175,DAY_8[],11,0)</f>
        <v>1.1000000000000001</v>
      </c>
    </row>
    <row r="176" spans="1:10" x14ac:dyDescent="0.25">
      <c r="A176" s="2" t="s">
        <v>378</v>
      </c>
      <c r="B176" s="2" t="str">
        <f>VLOOKUP(A176,DAY_8[],2,0)</f>
        <v>FL250175</v>
      </c>
      <c r="C176" t="str">
        <f>VLOOKUP(A176,DAY_8[],3,0)</f>
        <v>MALE</v>
      </c>
      <c r="D176">
        <f>VLOOKUP(A176,DAY_8[],4,0)</f>
        <v>29</v>
      </c>
      <c r="E176" t="str">
        <f>VLOOKUP(A176,DAY_8[],5,0)</f>
        <v>BRAZIL</v>
      </c>
      <c r="F176" s="5" t="str">
        <f>VLOOKUP(A176,DAY_8[],6,0)</f>
        <v>PORTUGUESE</v>
      </c>
      <c r="G176" s="5" t="str">
        <f>VLOOKUP(A176,DAY_8[],7,0)</f>
        <v>UI/UX DESIGN</v>
      </c>
      <c r="H176" s="5">
        <f>VLOOKUP(A176,DAY_8[],8,0)</f>
        <v>9</v>
      </c>
      <c r="I176" s="5">
        <f>VLOOKUP(A176,DAY_8[],10,0)</f>
        <v>20</v>
      </c>
      <c r="J176" s="5">
        <f>VLOOKUP(A176,DAY_8[],11,0)</f>
        <v>2.4</v>
      </c>
    </row>
    <row r="177" spans="1:10" x14ac:dyDescent="0.25">
      <c r="A177" s="2" t="s">
        <v>380</v>
      </c>
      <c r="B177" s="2" t="str">
        <f>VLOOKUP(A177,DAY_8[],2,0)</f>
        <v>FL250176</v>
      </c>
      <c r="C177" t="str">
        <f>VLOOKUP(A177,DAY_8[],3,0)</f>
        <v>FEMALE</v>
      </c>
      <c r="D177">
        <f>VLOOKUP(A177,DAY_8[],4,0)</f>
        <v>57</v>
      </c>
      <c r="E177" t="str">
        <f>VLOOKUP(A177,DAY_8[],5,0)</f>
        <v>AUSTRALIA</v>
      </c>
      <c r="F177" s="5" t="str">
        <f>VLOOKUP(A177,DAY_8[],6,0)</f>
        <v>ENGLISH</v>
      </c>
      <c r="G177" s="5" t="str">
        <f>VLOOKUP(A177,DAY_8[],7,0)</f>
        <v>GRAPHIC DESIGN</v>
      </c>
      <c r="H177" s="5">
        <f>VLOOKUP(A177,DAY_8[],8,0)</f>
        <v>17</v>
      </c>
      <c r="I177" s="5">
        <f>VLOOKUP(A177,DAY_8[],10,0)</f>
        <v>20</v>
      </c>
      <c r="J177" s="5">
        <f>VLOOKUP(A177,DAY_8[],11,0)</f>
        <v>3.6</v>
      </c>
    </row>
    <row r="178" spans="1:10" x14ac:dyDescent="0.25">
      <c r="A178" s="2" t="s">
        <v>382</v>
      </c>
      <c r="B178" s="2" t="str">
        <f>VLOOKUP(A178,DAY_8[],2,0)</f>
        <v>FL250177</v>
      </c>
      <c r="C178" t="str">
        <f>VLOOKUP(A178,DAY_8[],3,0)</f>
        <v>MALE</v>
      </c>
      <c r="D178">
        <f>VLOOKUP(A178,DAY_8[],4,0)</f>
        <v>47</v>
      </c>
      <c r="E178" t="str">
        <f>VLOOKUP(A178,DAY_8[],5,0)</f>
        <v>INDIA</v>
      </c>
      <c r="F178" s="5" t="str">
        <f>VLOOKUP(A178,DAY_8[],6,0)</f>
        <v>HINDI</v>
      </c>
      <c r="G178" s="5" t="str">
        <f>VLOOKUP(A178,DAY_8[],7,0)</f>
        <v>DEVOPS</v>
      </c>
      <c r="H178" s="5">
        <f>VLOOKUP(A178,DAY_8[],8,0)</f>
        <v>8</v>
      </c>
      <c r="I178" s="5">
        <f>VLOOKUP(A178,DAY_8[],10,0)</f>
        <v>20</v>
      </c>
      <c r="J178" s="5">
        <f>VLOOKUP(A178,DAY_8[],11,0)</f>
        <v>4.5</v>
      </c>
    </row>
    <row r="179" spans="1:10" x14ac:dyDescent="0.25">
      <c r="A179" s="2" t="s">
        <v>384</v>
      </c>
      <c r="B179" s="2" t="str">
        <f>VLOOKUP(A179,DAY_8[],2,0)</f>
        <v>FL250178</v>
      </c>
      <c r="C179" t="str">
        <f>VLOOKUP(A179,DAY_8[],3,0)</f>
        <v>MALE</v>
      </c>
      <c r="D179">
        <f>VLOOKUP(A179,DAY_8[],4,0)</f>
        <v>47</v>
      </c>
      <c r="E179" t="str">
        <f>VLOOKUP(A179,DAY_8[],5,0)</f>
        <v>SOUTH AFRICA</v>
      </c>
      <c r="F179" s="5" t="str">
        <f>VLOOKUP(A179,DAY_8[],6,0)</f>
        <v>AFRIKAANS</v>
      </c>
      <c r="G179" s="5" t="str">
        <f>VLOOKUP(A179,DAY_8[],7,0)</f>
        <v>AI</v>
      </c>
      <c r="H179" s="5">
        <f>VLOOKUP(A179,DAY_8[],8,0)</f>
        <v>14</v>
      </c>
      <c r="I179" s="5">
        <f>VLOOKUP(A179,DAY_8[],10,0)</f>
        <v>30</v>
      </c>
      <c r="J179" s="5">
        <f>VLOOKUP(A179,DAY_8[],11,0)</f>
        <v>0</v>
      </c>
    </row>
    <row r="180" spans="1:10" x14ac:dyDescent="0.25">
      <c r="A180" s="2" t="s">
        <v>386</v>
      </c>
      <c r="B180" s="2" t="str">
        <f>VLOOKUP(A180,DAY_8[],2,0)</f>
        <v>FL250179</v>
      </c>
      <c r="C180" t="str">
        <f>VLOOKUP(A180,DAY_8[],3,0)</f>
        <v>FEMALE</v>
      </c>
      <c r="D180">
        <f>VLOOKUP(A180,DAY_8[],4,0)</f>
        <v>45</v>
      </c>
      <c r="E180" t="str">
        <f>VLOOKUP(A180,DAY_8[],5,0)</f>
        <v>FRANCE</v>
      </c>
      <c r="F180" s="5" t="str">
        <f>VLOOKUP(A180,DAY_8[],6,0)</f>
        <v>FRENCH</v>
      </c>
      <c r="G180" s="5" t="str">
        <f>VLOOKUP(A180,DAY_8[],7,0)</f>
        <v>GRAPHIC DESIGN</v>
      </c>
      <c r="H180" s="5">
        <f>VLOOKUP(A180,DAY_8[],8,0)</f>
        <v>21</v>
      </c>
      <c r="I180" s="5">
        <f>VLOOKUP(A180,DAY_8[],10,0)</f>
        <v>30</v>
      </c>
      <c r="J180" s="5">
        <f>VLOOKUP(A180,DAY_8[],11,0)</f>
        <v>1.5</v>
      </c>
    </row>
    <row r="181" spans="1:10" x14ac:dyDescent="0.25">
      <c r="A181" s="2" t="s">
        <v>388</v>
      </c>
      <c r="B181" s="2" t="str">
        <f>VLOOKUP(A181,DAY_8[],2,0)</f>
        <v>FL250180</v>
      </c>
      <c r="C181" t="str">
        <f>VLOOKUP(A181,DAY_8[],3,0)</f>
        <v>MALE</v>
      </c>
      <c r="D181">
        <f>VLOOKUP(A181,DAY_8[],4,0)</f>
        <v>24</v>
      </c>
      <c r="E181" t="str">
        <f>VLOOKUP(A181,DAY_8[],5,0)</f>
        <v>TURKEY</v>
      </c>
      <c r="F181" s="5" t="str">
        <f>VLOOKUP(A181,DAY_8[],6,0)</f>
        <v>TURKISH</v>
      </c>
      <c r="G181" s="5" t="str">
        <f>VLOOKUP(A181,DAY_8[],7,0)</f>
        <v>MACHINE LEARNING</v>
      </c>
      <c r="H181" s="5">
        <f>VLOOKUP(A181,DAY_8[],8,0)</f>
        <v>1</v>
      </c>
      <c r="I181" s="5">
        <f>VLOOKUP(A181,DAY_8[],10,0)</f>
        <v>30</v>
      </c>
      <c r="J181" s="5">
        <f>VLOOKUP(A181,DAY_8[],11,0)</f>
        <v>3.7</v>
      </c>
    </row>
    <row r="182" spans="1:10" x14ac:dyDescent="0.25">
      <c r="A182" s="2" t="s">
        <v>390</v>
      </c>
      <c r="B182" s="2" t="str">
        <f>VLOOKUP(A182,DAY_8[],2,0)</f>
        <v>FL250181</v>
      </c>
      <c r="C182" t="str">
        <f>VLOOKUP(A182,DAY_8[],3,0)</f>
        <v>FEMALE</v>
      </c>
      <c r="D182">
        <f>VLOOKUP(A182,DAY_8[],4,0)</f>
        <v>31</v>
      </c>
      <c r="E182" t="str">
        <f>VLOOKUP(A182,DAY_8[],5,0)</f>
        <v>ARGENTINA</v>
      </c>
      <c r="F182" s="5" t="str">
        <f>VLOOKUP(A182,DAY_8[],6,0)</f>
        <v>SPANISH</v>
      </c>
      <c r="G182" s="5" t="str">
        <f>VLOOKUP(A182,DAY_8[],7,0)</f>
        <v>MOBILE APPS</v>
      </c>
      <c r="H182" s="5">
        <f>VLOOKUP(A182,DAY_8[],8,0)</f>
        <v>12</v>
      </c>
      <c r="I182" s="5">
        <f>VLOOKUP(A182,DAY_8[],10,0)</f>
        <v>20</v>
      </c>
      <c r="J182" s="5">
        <f>VLOOKUP(A182,DAY_8[],11,0)</f>
        <v>2.2999999999999998</v>
      </c>
    </row>
    <row r="183" spans="1:10" x14ac:dyDescent="0.25">
      <c r="A183" s="2" t="s">
        <v>392</v>
      </c>
      <c r="B183" s="2" t="str">
        <f>VLOOKUP(A183,DAY_8[],2,0)</f>
        <v>FL250182</v>
      </c>
      <c r="C183" t="str">
        <f>VLOOKUP(A183,DAY_8[],3,0)</f>
        <v>FEMALE</v>
      </c>
      <c r="D183">
        <f>VLOOKUP(A183,DAY_8[],4,0)</f>
        <v>20</v>
      </c>
      <c r="E183" t="str">
        <f>VLOOKUP(A183,DAY_8[],5,0)</f>
        <v>MEXICO</v>
      </c>
      <c r="F183" s="5" t="str">
        <f>VLOOKUP(A183,DAY_8[],6,0)</f>
        <v>SPANISH</v>
      </c>
      <c r="G183" s="5" t="str">
        <f>VLOOKUP(A183,DAY_8[],7,0)</f>
        <v>GRAPHIC DESIGN</v>
      </c>
      <c r="H183" s="5">
        <f>VLOOKUP(A183,DAY_8[],8,0)</f>
        <v>2</v>
      </c>
      <c r="I183" s="5">
        <f>VLOOKUP(A183,DAY_8[],10,0)</f>
        <v>20</v>
      </c>
      <c r="J183" s="5">
        <f>VLOOKUP(A183,DAY_8[],11,0)</f>
        <v>2.8</v>
      </c>
    </row>
    <row r="184" spans="1:10" x14ac:dyDescent="0.25">
      <c r="A184" s="2" t="s">
        <v>394</v>
      </c>
      <c r="B184" s="2" t="str">
        <f>VLOOKUP(A184,DAY_8[],2,0)</f>
        <v>FL250183</v>
      </c>
      <c r="C184" t="str">
        <f>VLOOKUP(A184,DAY_8[],3,0)</f>
        <v>MALE</v>
      </c>
      <c r="D184">
        <f>VLOOKUP(A184,DAY_8[],4,0)</f>
        <v>38</v>
      </c>
      <c r="E184" t="str">
        <f>VLOOKUP(A184,DAY_8[],5,0)</f>
        <v>JAPAN</v>
      </c>
      <c r="F184" s="5" t="str">
        <f>VLOOKUP(A184,DAY_8[],6,0)</f>
        <v>JAPANESE</v>
      </c>
      <c r="G184" s="5" t="str">
        <f>VLOOKUP(A184,DAY_8[],7,0)</f>
        <v>WEB DEVELOPMENT</v>
      </c>
      <c r="H184" s="5">
        <f>VLOOKUP(A184,DAY_8[],8,0)</f>
        <v>3</v>
      </c>
      <c r="I184" s="5">
        <f>VLOOKUP(A184,DAY_8[],10,0)</f>
        <v>30</v>
      </c>
      <c r="J184" s="5">
        <f>VLOOKUP(A184,DAY_8[],11,0)</f>
        <v>3.5</v>
      </c>
    </row>
    <row r="185" spans="1:10" x14ac:dyDescent="0.25">
      <c r="A185" s="2" t="s">
        <v>396</v>
      </c>
      <c r="B185" s="2" t="str">
        <f>VLOOKUP(A185,DAY_8[],2,0)</f>
        <v>FL250184</v>
      </c>
      <c r="C185" t="str">
        <f>VLOOKUP(A185,DAY_8[],3,0)</f>
        <v>FEMALE</v>
      </c>
      <c r="D185">
        <f>VLOOKUP(A185,DAY_8[],4,0)</f>
        <v>33</v>
      </c>
      <c r="E185" t="str">
        <f>VLOOKUP(A185,DAY_8[],5,0)</f>
        <v>GERMANY</v>
      </c>
      <c r="F185" s="5" t="str">
        <f>VLOOKUP(A185,DAY_8[],6,0)</f>
        <v>GERMANY</v>
      </c>
      <c r="G185" s="5" t="str">
        <f>VLOOKUP(A185,DAY_8[],7,0)</f>
        <v>UI/UX DESIGN</v>
      </c>
      <c r="H185" s="5">
        <f>VLOOKUP(A185,DAY_8[],8,0)</f>
        <v>11</v>
      </c>
      <c r="I185" s="5">
        <f>VLOOKUP(A185,DAY_8[],10,0)</f>
        <v>70</v>
      </c>
      <c r="J185" s="5">
        <f>VLOOKUP(A185,DAY_8[],11,0)</f>
        <v>0</v>
      </c>
    </row>
    <row r="186" spans="1:10" x14ac:dyDescent="0.25">
      <c r="A186" s="2" t="s">
        <v>398</v>
      </c>
      <c r="B186" s="2" t="str">
        <f>VLOOKUP(A186,DAY_8[],2,0)</f>
        <v>FL250185</v>
      </c>
      <c r="C186" t="str">
        <f>VLOOKUP(A186,DAY_8[],3,0)</f>
        <v>FEMALE</v>
      </c>
      <c r="D186">
        <f>VLOOKUP(A186,DAY_8[],4,0)</f>
        <v>31</v>
      </c>
      <c r="E186" t="str">
        <f>VLOOKUP(A186,DAY_8[],5,0)</f>
        <v>AUSTRALIA</v>
      </c>
      <c r="F186" s="5" t="str">
        <f>VLOOKUP(A186,DAY_8[],6,0)</f>
        <v>ENGLISH</v>
      </c>
      <c r="G186" s="5" t="str">
        <f>VLOOKUP(A186,DAY_8[],7,0)</f>
        <v>WEB DEVELOPMENT</v>
      </c>
      <c r="H186" s="5">
        <f>VLOOKUP(A186,DAY_8[],8,0)</f>
        <v>4</v>
      </c>
      <c r="I186" s="5">
        <f>VLOOKUP(A186,DAY_8[],10,0)</f>
        <v>40</v>
      </c>
      <c r="J186" s="5">
        <f>VLOOKUP(A186,DAY_8[],11,0)</f>
        <v>3.2</v>
      </c>
    </row>
    <row r="187" spans="1:10" x14ac:dyDescent="0.25">
      <c r="A187" s="2" t="s">
        <v>400</v>
      </c>
      <c r="B187" s="2" t="str">
        <f>VLOOKUP(A187,DAY_8[],2,0)</f>
        <v>FL250186</v>
      </c>
      <c r="C187" t="str">
        <f>VLOOKUP(A187,DAY_8[],3,0)</f>
        <v>MALE</v>
      </c>
      <c r="D187">
        <f>VLOOKUP(A187,DAY_8[],4,0)</f>
        <v>41</v>
      </c>
      <c r="E187" t="str">
        <f>VLOOKUP(A187,DAY_8[],5,0)</f>
        <v>SPAIN</v>
      </c>
      <c r="F187" s="5" t="str">
        <f>VLOOKUP(A187,DAY_8[],6,0)</f>
        <v>SPANISH</v>
      </c>
      <c r="G187" s="5" t="str">
        <f>VLOOKUP(A187,DAY_8[],7,0)</f>
        <v>MACHINE LEARNING</v>
      </c>
      <c r="H187" s="5">
        <f>VLOOKUP(A187,DAY_8[],8,0)</f>
        <v>21</v>
      </c>
      <c r="I187" s="5">
        <f>VLOOKUP(A187,DAY_8[],10,0)</f>
        <v>50</v>
      </c>
      <c r="J187" s="5">
        <f>VLOOKUP(A187,DAY_8[],11,0)</f>
        <v>3.3</v>
      </c>
    </row>
    <row r="188" spans="1:10" x14ac:dyDescent="0.25">
      <c r="A188" s="2" t="s">
        <v>402</v>
      </c>
      <c r="B188" s="2" t="str">
        <f>VLOOKUP(A188,DAY_8[],2,0)</f>
        <v>FL250187</v>
      </c>
      <c r="C188" t="str">
        <f>VLOOKUP(A188,DAY_8[],3,0)</f>
        <v>MALE</v>
      </c>
      <c r="D188">
        <f>VLOOKUP(A188,DAY_8[],4,0)</f>
        <v>54</v>
      </c>
      <c r="E188" t="str">
        <f>VLOOKUP(A188,DAY_8[],5,0)</f>
        <v>TURKEY</v>
      </c>
      <c r="F188" s="5" t="str">
        <f>VLOOKUP(A188,DAY_8[],6,0)</f>
        <v>TURKISH</v>
      </c>
      <c r="G188" s="5" t="str">
        <f>VLOOKUP(A188,DAY_8[],7,0)</f>
        <v>WEB DEVELOPMENT</v>
      </c>
      <c r="H188" s="5">
        <f>VLOOKUP(A188,DAY_8[],8,0)</f>
        <v>0</v>
      </c>
      <c r="I188" s="5">
        <f>VLOOKUP(A188,DAY_8[],10,0)</f>
        <v>20</v>
      </c>
      <c r="J188" s="5">
        <f>VLOOKUP(A188,DAY_8[],11,0)</f>
        <v>4.9000000000000004</v>
      </c>
    </row>
    <row r="189" spans="1:10" x14ac:dyDescent="0.25">
      <c r="A189" s="2" t="s">
        <v>404</v>
      </c>
      <c r="B189" s="2" t="str">
        <f>VLOOKUP(A189,DAY_8[],2,0)</f>
        <v>FL250188</v>
      </c>
      <c r="C189" t="str">
        <f>VLOOKUP(A189,DAY_8[],3,0)</f>
        <v>MALE</v>
      </c>
      <c r="D189">
        <f>VLOOKUP(A189,DAY_8[],4,0)</f>
        <v>50</v>
      </c>
      <c r="E189" t="str">
        <f>VLOOKUP(A189,DAY_8[],5,0)</f>
        <v>MEXICO</v>
      </c>
      <c r="F189" s="5" t="str">
        <f>VLOOKUP(A189,DAY_8[],6,0)</f>
        <v>SPANISH</v>
      </c>
      <c r="G189" s="5" t="str">
        <f>VLOOKUP(A189,DAY_8[],7,0)</f>
        <v>DATA ANALYSIS</v>
      </c>
      <c r="H189" s="5">
        <f>VLOOKUP(A189,DAY_8[],8,0)</f>
        <v>6</v>
      </c>
      <c r="I189" s="5">
        <f>VLOOKUP(A189,DAY_8[],10,0)</f>
        <v>30</v>
      </c>
      <c r="J189" s="5">
        <f>VLOOKUP(A189,DAY_8[],11,0)</f>
        <v>2.2000000000000002</v>
      </c>
    </row>
    <row r="190" spans="1:10" x14ac:dyDescent="0.25">
      <c r="A190" s="2" t="s">
        <v>406</v>
      </c>
      <c r="B190" s="2" t="str">
        <f>VLOOKUP(A190,DAY_8[],2,0)</f>
        <v>FL250189</v>
      </c>
      <c r="C190" t="str">
        <f>VLOOKUP(A190,DAY_8[],3,0)</f>
        <v>MALE</v>
      </c>
      <c r="D190">
        <f>VLOOKUP(A190,DAY_8[],4,0)</f>
        <v>48</v>
      </c>
      <c r="E190" t="str">
        <f>VLOOKUP(A190,DAY_8[],5,0)</f>
        <v>BRAZIL</v>
      </c>
      <c r="F190" s="5" t="str">
        <f>VLOOKUP(A190,DAY_8[],6,0)</f>
        <v>PORTUGUESE</v>
      </c>
      <c r="G190" s="5" t="str">
        <f>VLOOKUP(A190,DAY_8[],7,0)</f>
        <v>MACHINE LEARNING</v>
      </c>
      <c r="H190" s="5">
        <f>VLOOKUP(A190,DAY_8[],8,0)</f>
        <v>18</v>
      </c>
      <c r="I190" s="5">
        <f>VLOOKUP(A190,DAY_8[],10,0)</f>
        <v>40</v>
      </c>
      <c r="J190" s="5">
        <f>VLOOKUP(A190,DAY_8[],11,0)</f>
        <v>2.4</v>
      </c>
    </row>
    <row r="191" spans="1:10" x14ac:dyDescent="0.25">
      <c r="A191" s="2" t="s">
        <v>408</v>
      </c>
      <c r="B191" s="2" t="str">
        <f>VLOOKUP(A191,DAY_8[],2,0)</f>
        <v>FL250190</v>
      </c>
      <c r="C191" t="str">
        <f>VLOOKUP(A191,DAY_8[],3,0)</f>
        <v>FEMALE</v>
      </c>
      <c r="D191">
        <f>VLOOKUP(A191,DAY_8[],4,0)</f>
        <v>49</v>
      </c>
      <c r="E191" t="str">
        <f>VLOOKUP(A191,DAY_8[],5,0)</f>
        <v>MEXICO</v>
      </c>
      <c r="F191" s="5" t="str">
        <f>VLOOKUP(A191,DAY_8[],6,0)</f>
        <v>SPANISH</v>
      </c>
      <c r="G191" s="5" t="str">
        <f>VLOOKUP(A191,DAY_8[],7,0)</f>
        <v>GRAPHIC DESIGN</v>
      </c>
      <c r="H191" s="5">
        <f>VLOOKUP(A191,DAY_8[],8,0)</f>
        <v>10</v>
      </c>
      <c r="I191" s="5">
        <f>VLOOKUP(A191,DAY_8[],10,0)</f>
        <v>70</v>
      </c>
      <c r="J191" s="5">
        <f>VLOOKUP(A191,DAY_8[],11,0)</f>
        <v>1.8</v>
      </c>
    </row>
    <row r="192" spans="1:10" x14ac:dyDescent="0.25">
      <c r="A192" s="2" t="s">
        <v>410</v>
      </c>
      <c r="B192" s="2" t="str">
        <f>VLOOKUP(A192,DAY_8[],2,0)</f>
        <v>FL250191</v>
      </c>
      <c r="C192" t="str">
        <f>VLOOKUP(A192,DAY_8[],3,0)</f>
        <v>MALE</v>
      </c>
      <c r="D192">
        <f>VLOOKUP(A192,DAY_8[],4,0)</f>
        <v>21</v>
      </c>
      <c r="E192" t="str">
        <f>VLOOKUP(A192,DAY_8[],5,0)</f>
        <v>SOUTH KOREA</v>
      </c>
      <c r="F192" s="5" t="str">
        <f>VLOOKUP(A192,DAY_8[],6,0)</f>
        <v>KOREAN</v>
      </c>
      <c r="G192" s="5" t="str">
        <f>VLOOKUP(A192,DAY_8[],7,0)</f>
        <v>GRAPHIC DESIGN</v>
      </c>
      <c r="H192" s="5">
        <f>VLOOKUP(A192,DAY_8[],8,0)</f>
        <v>1</v>
      </c>
      <c r="I192" s="5">
        <f>VLOOKUP(A192,DAY_8[],10,0)</f>
        <v>75</v>
      </c>
      <c r="J192" s="5">
        <f>VLOOKUP(A192,DAY_8[],11,0)</f>
        <v>4.5999999999999996</v>
      </c>
    </row>
    <row r="193" spans="1:10" x14ac:dyDescent="0.25">
      <c r="A193" s="2" t="s">
        <v>412</v>
      </c>
      <c r="B193" s="2" t="str">
        <f>VLOOKUP(A193,DAY_8[],2,0)</f>
        <v>FL250192</v>
      </c>
      <c r="C193" t="str">
        <f>VLOOKUP(A193,DAY_8[],3,0)</f>
        <v>MALE</v>
      </c>
      <c r="D193">
        <f>VLOOKUP(A193,DAY_8[],4,0)</f>
        <v>58</v>
      </c>
      <c r="E193" t="str">
        <f>VLOOKUP(A193,DAY_8[],5,0)</f>
        <v>AUSTRALIA</v>
      </c>
      <c r="F193" s="5" t="str">
        <f>VLOOKUP(A193,DAY_8[],6,0)</f>
        <v>ENGLISH</v>
      </c>
      <c r="G193" s="5" t="str">
        <f>VLOOKUP(A193,DAY_8[],7,0)</f>
        <v>GRAPHIC DESIGN</v>
      </c>
      <c r="H193" s="5">
        <f>VLOOKUP(A193,DAY_8[],8,0)</f>
        <v>20</v>
      </c>
      <c r="I193" s="5">
        <f>VLOOKUP(A193,DAY_8[],10,0)</f>
        <v>75</v>
      </c>
      <c r="J193" s="5">
        <f>VLOOKUP(A193,DAY_8[],11,0)</f>
        <v>2.8</v>
      </c>
    </row>
    <row r="194" spans="1:10" x14ac:dyDescent="0.25">
      <c r="A194" s="2" t="s">
        <v>208</v>
      </c>
      <c r="B194" s="2" t="str">
        <f>VLOOKUP(A194,DAY_8[],2,0)</f>
        <v>FL250090</v>
      </c>
      <c r="C194" t="str">
        <f>VLOOKUP(A194,DAY_8[],3,0)</f>
        <v>MALE</v>
      </c>
      <c r="D194">
        <f>VLOOKUP(A194,DAY_8[],4,0)</f>
        <v>32</v>
      </c>
      <c r="E194" t="str">
        <f>VLOOKUP(A194,DAY_8[],5,0)</f>
        <v>INDIA</v>
      </c>
      <c r="F194" s="5" t="str">
        <f>VLOOKUP(A194,DAY_8[],6,0)</f>
        <v>HINDI</v>
      </c>
      <c r="G194" s="5" t="str">
        <f>VLOOKUP(A194,DAY_8[],7,0)</f>
        <v>MOBILE APPS</v>
      </c>
      <c r="H194" s="5">
        <f>VLOOKUP(A194,DAY_8[],8,0)</f>
        <v>10</v>
      </c>
      <c r="I194" s="5">
        <f>VLOOKUP(A194,DAY_8[],10,0)</f>
        <v>20</v>
      </c>
      <c r="J194" s="5">
        <f>VLOOKUP(A194,DAY_8[],11,0)</f>
        <v>2.4</v>
      </c>
    </row>
    <row r="195" spans="1:10" x14ac:dyDescent="0.25">
      <c r="A195" s="2" t="s">
        <v>415</v>
      </c>
      <c r="B195" s="2" t="str">
        <f>VLOOKUP(A195,DAY_8[],2,0)</f>
        <v>FL250194</v>
      </c>
      <c r="C195" t="str">
        <f>VLOOKUP(A195,DAY_8[],3,0)</f>
        <v>FEMALE</v>
      </c>
      <c r="D195">
        <f>VLOOKUP(A195,DAY_8[],4,0)</f>
        <v>58</v>
      </c>
      <c r="E195" t="str">
        <f>VLOOKUP(A195,DAY_8[],5,0)</f>
        <v>RUSSIA</v>
      </c>
      <c r="F195" s="5" t="str">
        <f>VLOOKUP(A195,DAY_8[],6,0)</f>
        <v>RUSSIAN</v>
      </c>
      <c r="G195" s="5" t="str">
        <f>VLOOKUP(A195,DAY_8[],7,0)</f>
        <v>BLOCKCHAIN DEVELOPMENT</v>
      </c>
      <c r="H195" s="5">
        <f>VLOOKUP(A195,DAY_8[],8,0)</f>
        <v>25</v>
      </c>
      <c r="I195" s="5">
        <f>VLOOKUP(A195,DAY_8[],10,0)</f>
        <v>30</v>
      </c>
      <c r="J195" s="5">
        <f>VLOOKUP(A195,DAY_8[],11,0)</f>
        <v>4.2</v>
      </c>
    </row>
    <row r="196" spans="1:10" x14ac:dyDescent="0.25">
      <c r="A196" s="2" t="s">
        <v>417</v>
      </c>
      <c r="B196" s="2" t="str">
        <f>VLOOKUP(A196,DAY_8[],2,0)</f>
        <v>FL250195</v>
      </c>
      <c r="C196" t="str">
        <f>VLOOKUP(A196,DAY_8[],3,0)</f>
        <v>FEMALE</v>
      </c>
      <c r="D196">
        <f>VLOOKUP(A196,DAY_8[],4,0)</f>
        <v>50</v>
      </c>
      <c r="E196" t="str">
        <f>VLOOKUP(A196,DAY_8[],5,0)</f>
        <v>SOUTH AFRICA</v>
      </c>
      <c r="F196" s="5" t="str">
        <f>VLOOKUP(A196,DAY_8[],6,0)</f>
        <v>AFRIKAANS</v>
      </c>
      <c r="G196" s="5" t="str">
        <f>VLOOKUP(A196,DAY_8[],7,0)</f>
        <v>GRAPHIC DESIGN</v>
      </c>
      <c r="H196" s="5">
        <f>VLOOKUP(A196,DAY_8[],8,0)</f>
        <v>20</v>
      </c>
      <c r="I196" s="5">
        <f>VLOOKUP(A196,DAY_8[],10,0)</f>
        <v>40</v>
      </c>
      <c r="J196" s="5">
        <f>VLOOKUP(A196,DAY_8[],11,0)</f>
        <v>3.6</v>
      </c>
    </row>
    <row r="197" spans="1:10" x14ac:dyDescent="0.25">
      <c r="A197" s="2" t="s">
        <v>419</v>
      </c>
      <c r="B197" s="2" t="str">
        <f>VLOOKUP(A197,DAY_8[],2,0)</f>
        <v>FL250196</v>
      </c>
      <c r="C197" t="str">
        <f>VLOOKUP(A197,DAY_8[],3,0)</f>
        <v>MALE</v>
      </c>
      <c r="D197">
        <f>VLOOKUP(A197,DAY_8[],4,0)</f>
        <v>52</v>
      </c>
      <c r="E197" t="str">
        <f>VLOOKUP(A197,DAY_8[],5,0)</f>
        <v>INDONESIA</v>
      </c>
      <c r="F197" s="5" t="str">
        <f>VLOOKUP(A197,DAY_8[],6,0)</f>
        <v>INDONESIAN</v>
      </c>
      <c r="G197" s="5" t="str">
        <f>VLOOKUP(A197,DAY_8[],7,0)</f>
        <v>WEB DEVELOPMENT</v>
      </c>
      <c r="H197" s="5">
        <f>VLOOKUP(A197,DAY_8[],8,0)</f>
        <v>33</v>
      </c>
      <c r="I197" s="5">
        <f>VLOOKUP(A197,DAY_8[],10,0)</f>
        <v>100</v>
      </c>
      <c r="J197" s="5">
        <f>VLOOKUP(A197,DAY_8[],11,0)</f>
        <v>1.6</v>
      </c>
    </row>
    <row r="198" spans="1:10" x14ac:dyDescent="0.25">
      <c r="A198" s="2" t="s">
        <v>421</v>
      </c>
      <c r="B198" s="2" t="str">
        <f>VLOOKUP(A198,DAY_8[],2,0)</f>
        <v>FL250197</v>
      </c>
      <c r="C198" t="str">
        <f>VLOOKUP(A198,DAY_8[],3,0)</f>
        <v>MALE</v>
      </c>
      <c r="D198">
        <f>VLOOKUP(A198,DAY_8[],4,0)</f>
        <v>34</v>
      </c>
      <c r="E198" t="str">
        <f>VLOOKUP(A198,DAY_8[],5,0)</f>
        <v>NETHERLANDS</v>
      </c>
      <c r="F198" s="5" t="str">
        <f>VLOOKUP(A198,DAY_8[],6,0)</f>
        <v>DUTCH</v>
      </c>
      <c r="G198" s="5" t="str">
        <f>VLOOKUP(A198,DAY_8[],7,0)</f>
        <v>DATA ANALYSIS</v>
      </c>
      <c r="H198" s="5">
        <f>VLOOKUP(A198,DAY_8[],8,0)</f>
        <v>6</v>
      </c>
      <c r="I198" s="5">
        <f>VLOOKUP(A198,DAY_8[],10,0)</f>
        <v>100</v>
      </c>
      <c r="J198" s="5">
        <f>VLOOKUP(A198,DAY_8[],11,0)</f>
        <v>2</v>
      </c>
    </row>
    <row r="199" spans="1:10" x14ac:dyDescent="0.25">
      <c r="A199" s="2" t="s">
        <v>423</v>
      </c>
      <c r="B199" s="2" t="str">
        <f>VLOOKUP(A199,DAY_8[],2,0)</f>
        <v>FL250198</v>
      </c>
      <c r="C199" t="str">
        <f>VLOOKUP(A199,DAY_8[],3,0)</f>
        <v>MALE</v>
      </c>
      <c r="D199">
        <f>VLOOKUP(A199,DAY_8[],4,0)</f>
        <v>32</v>
      </c>
      <c r="E199" t="str">
        <f>VLOOKUP(A199,DAY_8[],5,0)</f>
        <v>FRANCE</v>
      </c>
      <c r="F199" s="5" t="str">
        <f>VLOOKUP(A199,DAY_8[],6,0)</f>
        <v>FRENCH</v>
      </c>
      <c r="G199" s="5" t="str">
        <f>VLOOKUP(A199,DAY_8[],7,0)</f>
        <v>MACHINE LEARNING</v>
      </c>
      <c r="H199" s="5">
        <f>VLOOKUP(A199,DAY_8[],8,0)</f>
        <v>11</v>
      </c>
      <c r="I199" s="5">
        <f>VLOOKUP(A199,DAY_8[],10,0)</f>
        <v>40</v>
      </c>
      <c r="J199" s="5">
        <f>VLOOKUP(A199,DAY_8[],11,0)</f>
        <v>4.3</v>
      </c>
    </row>
    <row r="200" spans="1:10" x14ac:dyDescent="0.25">
      <c r="A200" s="2" t="s">
        <v>425</v>
      </c>
      <c r="B200" s="2" t="str">
        <f>VLOOKUP(A200,DAY_8[],2,0)</f>
        <v>FL250199</v>
      </c>
      <c r="C200" t="str">
        <f>VLOOKUP(A200,DAY_8[],3,0)</f>
        <v>FEMALE</v>
      </c>
      <c r="D200">
        <f>VLOOKUP(A200,DAY_8[],4,0)</f>
        <v>50</v>
      </c>
      <c r="E200" t="str">
        <f>VLOOKUP(A200,DAY_8[],5,0)</f>
        <v>INDIA</v>
      </c>
      <c r="F200" s="5" t="str">
        <f>VLOOKUP(A200,DAY_8[],6,0)</f>
        <v>HINDI</v>
      </c>
      <c r="G200" s="5" t="str">
        <f>VLOOKUP(A200,DAY_8[],7,0)</f>
        <v>GRAPHIC DESIGN</v>
      </c>
      <c r="H200" s="5">
        <f>VLOOKUP(A200,DAY_8[],8,0)</f>
        <v>28</v>
      </c>
      <c r="I200" s="5">
        <f>VLOOKUP(A200,DAY_8[],10,0)</f>
        <v>100</v>
      </c>
      <c r="J200" s="5">
        <f>VLOOKUP(A200,DAY_8[],11,0)</f>
        <v>4.9000000000000004</v>
      </c>
    </row>
    <row r="201" spans="1:10" x14ac:dyDescent="0.25">
      <c r="A201" s="2" t="s">
        <v>427</v>
      </c>
      <c r="B201" s="2" t="str">
        <f>VLOOKUP(A201,DAY_8[],2,0)</f>
        <v>FL250200</v>
      </c>
      <c r="C201" t="str">
        <f>VLOOKUP(A201,DAY_8[],3,0)</f>
        <v>FEMALE</v>
      </c>
      <c r="D201">
        <f>VLOOKUP(A201,DAY_8[],4,0)</f>
        <v>39</v>
      </c>
      <c r="E201" t="str">
        <f>VLOOKUP(A201,DAY_8[],5,0)</f>
        <v>ARGENTINA</v>
      </c>
      <c r="F201" s="5" t="str">
        <f>VLOOKUP(A201,DAY_8[],6,0)</f>
        <v>SPANISH</v>
      </c>
      <c r="G201" s="5" t="str">
        <f>VLOOKUP(A201,DAY_8[],7,0)</f>
        <v>DATA ANALYSIS</v>
      </c>
      <c r="H201" s="5">
        <f>VLOOKUP(A201,DAY_8[],8,0)</f>
        <v>11</v>
      </c>
      <c r="I201" s="5">
        <f>VLOOKUP(A201,DAY_8[],10,0)</f>
        <v>100</v>
      </c>
      <c r="J201" s="5">
        <f>VLOOKUP(A201,DAY_8[],11,0)</f>
        <v>3.5</v>
      </c>
    </row>
    <row r="202" spans="1:10" x14ac:dyDescent="0.25">
      <c r="A202" s="2" t="s">
        <v>429</v>
      </c>
      <c r="B202" s="2" t="str">
        <f>VLOOKUP(A202,DAY_8[],2,0)</f>
        <v>FL250201</v>
      </c>
      <c r="C202" t="str">
        <f>VLOOKUP(A202,DAY_8[],3,0)</f>
        <v>FEMALE</v>
      </c>
      <c r="D202">
        <f>VLOOKUP(A202,DAY_8[],4,0)</f>
        <v>25</v>
      </c>
      <c r="E202" t="str">
        <f>VLOOKUP(A202,DAY_8[],5,0)</f>
        <v>SPAIN</v>
      </c>
      <c r="F202" s="5" t="str">
        <f>VLOOKUP(A202,DAY_8[],6,0)</f>
        <v>SPANISH</v>
      </c>
      <c r="G202" s="5" t="str">
        <f>VLOOKUP(A202,DAY_8[],7,0)</f>
        <v>AI</v>
      </c>
      <c r="H202" s="5">
        <f>VLOOKUP(A202,DAY_8[],8,0)</f>
        <v>2</v>
      </c>
      <c r="I202" s="5">
        <f>VLOOKUP(A202,DAY_8[],10,0)</f>
        <v>100</v>
      </c>
      <c r="J202" s="5">
        <f>VLOOKUP(A202,DAY_8[],11,0)</f>
        <v>2.4</v>
      </c>
    </row>
    <row r="203" spans="1:10" x14ac:dyDescent="0.25">
      <c r="A203" s="2" t="s">
        <v>431</v>
      </c>
      <c r="B203" s="2" t="str">
        <f>VLOOKUP(A203,DAY_8[],2,0)</f>
        <v>FL250202</v>
      </c>
      <c r="C203" t="str">
        <f>VLOOKUP(A203,DAY_8[],3,0)</f>
        <v>FEMALE</v>
      </c>
      <c r="D203">
        <f>VLOOKUP(A203,DAY_8[],4,0)</f>
        <v>55</v>
      </c>
      <c r="E203" t="str">
        <f>VLOOKUP(A203,DAY_8[],5,0)</f>
        <v>CHINA</v>
      </c>
      <c r="F203" s="5" t="str">
        <f>VLOOKUP(A203,DAY_8[],6,0)</f>
        <v>MANDARIN</v>
      </c>
      <c r="G203" s="5" t="str">
        <f>VLOOKUP(A203,DAY_8[],7,0)</f>
        <v>MACHINE LEARNING</v>
      </c>
      <c r="H203" s="5">
        <f>VLOOKUP(A203,DAY_8[],8,0)</f>
        <v>7</v>
      </c>
      <c r="I203" s="5">
        <f>VLOOKUP(A203,DAY_8[],10,0)</f>
        <v>100</v>
      </c>
      <c r="J203" s="5">
        <f>VLOOKUP(A203,DAY_8[],11,0)</f>
        <v>1.7</v>
      </c>
    </row>
    <row r="204" spans="1:10" x14ac:dyDescent="0.25">
      <c r="A204" s="2" t="s">
        <v>433</v>
      </c>
      <c r="B204" s="2" t="str">
        <f>VLOOKUP(A204,DAY_8[],2,0)</f>
        <v>FL250203</v>
      </c>
      <c r="C204" t="str">
        <f>VLOOKUP(A204,DAY_8[],3,0)</f>
        <v>MALE</v>
      </c>
      <c r="D204">
        <f>VLOOKUP(A204,DAY_8[],4,0)</f>
        <v>42</v>
      </c>
      <c r="E204" t="str">
        <f>VLOOKUP(A204,DAY_8[],5,0)</f>
        <v>ITALY</v>
      </c>
      <c r="F204" s="5" t="str">
        <f>VLOOKUP(A204,DAY_8[],6,0)</f>
        <v>ITALIAN</v>
      </c>
      <c r="G204" s="5" t="str">
        <f>VLOOKUP(A204,DAY_8[],7,0)</f>
        <v>DEVOPS</v>
      </c>
      <c r="H204" s="5">
        <f>VLOOKUP(A204,DAY_8[],8,0)</f>
        <v>10</v>
      </c>
      <c r="I204" s="5">
        <f>VLOOKUP(A204,DAY_8[],10,0)</f>
        <v>100</v>
      </c>
      <c r="J204" s="5">
        <f>VLOOKUP(A204,DAY_8[],11,0)</f>
        <v>4.5999999999999996</v>
      </c>
    </row>
    <row r="205" spans="1:10" x14ac:dyDescent="0.25">
      <c r="A205" s="2" t="s">
        <v>435</v>
      </c>
      <c r="B205" s="2" t="str">
        <f>VLOOKUP(A205,DAY_8[],2,0)</f>
        <v>FL250204</v>
      </c>
      <c r="C205" t="str">
        <f>VLOOKUP(A205,DAY_8[],3,0)</f>
        <v>MALE</v>
      </c>
      <c r="D205">
        <f>VLOOKUP(A205,DAY_8[],4,0)</f>
        <v>43</v>
      </c>
      <c r="E205" t="str">
        <f>VLOOKUP(A205,DAY_8[],5,0)</f>
        <v>RUSSIA</v>
      </c>
      <c r="F205" s="5" t="str">
        <f>VLOOKUP(A205,DAY_8[],6,0)</f>
        <v>RUSSIAN</v>
      </c>
      <c r="G205" s="5" t="str">
        <f>VLOOKUP(A205,DAY_8[],7,0)</f>
        <v>MOBILE APPS</v>
      </c>
      <c r="H205" s="5">
        <f>VLOOKUP(A205,DAY_8[],8,0)</f>
        <v>6</v>
      </c>
      <c r="I205" s="5">
        <f>VLOOKUP(A205,DAY_8[],10,0)</f>
        <v>50</v>
      </c>
      <c r="J205" s="5">
        <f>VLOOKUP(A205,DAY_8[],11,0)</f>
        <v>2.4</v>
      </c>
    </row>
    <row r="206" spans="1:10" x14ac:dyDescent="0.25">
      <c r="A206" s="2" t="s">
        <v>437</v>
      </c>
      <c r="B206" s="2" t="str">
        <f>VLOOKUP(A206,DAY_8[],2,0)</f>
        <v>FL250205</v>
      </c>
      <c r="C206" t="str">
        <f>VLOOKUP(A206,DAY_8[],3,0)</f>
        <v>MALE</v>
      </c>
      <c r="D206">
        <f>VLOOKUP(A206,DAY_8[],4,0)</f>
        <v>54</v>
      </c>
      <c r="E206" t="str">
        <f>VLOOKUP(A206,DAY_8[],5,0)</f>
        <v>ITALY</v>
      </c>
      <c r="F206" s="5" t="str">
        <f>VLOOKUP(A206,DAY_8[],6,0)</f>
        <v>ITALIAN</v>
      </c>
      <c r="G206" s="5" t="str">
        <f>VLOOKUP(A206,DAY_8[],7,0)</f>
        <v>DEVOPS</v>
      </c>
      <c r="H206" s="5">
        <f>VLOOKUP(A206,DAY_8[],8,0)</f>
        <v>29</v>
      </c>
      <c r="I206" s="5">
        <f>VLOOKUP(A206,DAY_8[],10,0)</f>
        <v>30</v>
      </c>
      <c r="J206" s="5">
        <f>VLOOKUP(A206,DAY_8[],11,0)</f>
        <v>1.7</v>
      </c>
    </row>
    <row r="207" spans="1:10" x14ac:dyDescent="0.25">
      <c r="A207" s="2" t="s">
        <v>439</v>
      </c>
      <c r="B207" s="2" t="str">
        <f>VLOOKUP(A207,DAY_8[],2,0)</f>
        <v>FL250206</v>
      </c>
      <c r="C207" t="str">
        <f>VLOOKUP(A207,DAY_8[],3,0)</f>
        <v>FEMALE</v>
      </c>
      <c r="D207">
        <f>VLOOKUP(A207,DAY_8[],4,0)</f>
        <v>21</v>
      </c>
      <c r="E207" t="str">
        <f>VLOOKUP(A207,DAY_8[],5,0)</f>
        <v>EGYPT</v>
      </c>
      <c r="F207" s="5" t="str">
        <f>VLOOKUP(A207,DAY_8[],6,0)</f>
        <v>ARABIC</v>
      </c>
      <c r="G207" s="5" t="str">
        <f>VLOOKUP(A207,DAY_8[],7,0)</f>
        <v>GRAPHIC DESIGN</v>
      </c>
      <c r="H207" s="5">
        <f>VLOOKUP(A207,DAY_8[],8,0)</f>
        <v>0</v>
      </c>
      <c r="I207" s="5">
        <f>VLOOKUP(A207,DAY_8[],10,0)</f>
        <v>20</v>
      </c>
      <c r="J207" s="5">
        <f>VLOOKUP(A207,DAY_8[],11,0)</f>
        <v>1.8</v>
      </c>
    </row>
    <row r="208" spans="1:10" x14ac:dyDescent="0.25">
      <c r="A208" s="2" t="s">
        <v>441</v>
      </c>
      <c r="B208" s="2" t="str">
        <f>VLOOKUP(A208,DAY_8[],2,0)</f>
        <v>FL250207</v>
      </c>
      <c r="C208" t="str">
        <f>VLOOKUP(A208,DAY_8[],3,0)</f>
        <v>MALE</v>
      </c>
      <c r="D208">
        <f>VLOOKUP(A208,DAY_8[],4,0)</f>
        <v>46</v>
      </c>
      <c r="E208" t="str">
        <f>VLOOKUP(A208,DAY_8[],5,0)</f>
        <v>CANADA</v>
      </c>
      <c r="F208" s="5" t="str">
        <f>VLOOKUP(A208,DAY_8[],6,0)</f>
        <v>ENGLISH</v>
      </c>
      <c r="G208" s="5" t="str">
        <f>VLOOKUP(A208,DAY_8[],7,0)</f>
        <v>UI/UX DESIGN</v>
      </c>
      <c r="H208" s="5">
        <f>VLOOKUP(A208,DAY_8[],8,0)</f>
        <v>5</v>
      </c>
      <c r="I208" s="5">
        <f>VLOOKUP(A208,DAY_8[],10,0)</f>
        <v>20</v>
      </c>
      <c r="J208" s="5">
        <f>VLOOKUP(A208,DAY_8[],11,0)</f>
        <v>2.2000000000000002</v>
      </c>
    </row>
    <row r="209" spans="1:10" x14ac:dyDescent="0.25">
      <c r="A209" s="2" t="s">
        <v>443</v>
      </c>
      <c r="B209" s="2" t="str">
        <f>VLOOKUP(A209,DAY_8[],2,0)</f>
        <v>FL250208</v>
      </c>
      <c r="C209" t="str">
        <f>VLOOKUP(A209,DAY_8[],3,0)</f>
        <v>FEMALE</v>
      </c>
      <c r="D209">
        <f>VLOOKUP(A209,DAY_8[],4,0)</f>
        <v>30</v>
      </c>
      <c r="E209" t="str">
        <f>VLOOKUP(A209,DAY_8[],5,0)</f>
        <v>SPAIN</v>
      </c>
      <c r="F209" s="5" t="str">
        <f>VLOOKUP(A209,DAY_8[],6,0)</f>
        <v>SPANISH</v>
      </c>
      <c r="G209" s="5" t="str">
        <f>VLOOKUP(A209,DAY_8[],7,0)</f>
        <v>BLOCKCHAIN DEVELOPMENT</v>
      </c>
      <c r="H209" s="5">
        <f>VLOOKUP(A209,DAY_8[],8,0)</f>
        <v>11</v>
      </c>
      <c r="I209" s="5">
        <f>VLOOKUP(A209,DAY_8[],10,0)</f>
        <v>40</v>
      </c>
      <c r="J209" s="5">
        <f>VLOOKUP(A209,DAY_8[],11,0)</f>
        <v>1</v>
      </c>
    </row>
    <row r="210" spans="1:10" x14ac:dyDescent="0.25">
      <c r="A210" s="2" t="s">
        <v>445</v>
      </c>
      <c r="B210" s="2" t="str">
        <f>VLOOKUP(A210,DAY_8[],2,0)</f>
        <v>FL250209</v>
      </c>
      <c r="C210" t="str">
        <f>VLOOKUP(A210,DAY_8[],3,0)</f>
        <v>MALE</v>
      </c>
      <c r="D210">
        <f>VLOOKUP(A210,DAY_8[],4,0)</f>
        <v>36</v>
      </c>
      <c r="E210" t="str">
        <f>VLOOKUP(A210,DAY_8[],5,0)</f>
        <v>CHINA</v>
      </c>
      <c r="F210" s="5" t="str">
        <f>VLOOKUP(A210,DAY_8[],6,0)</f>
        <v>MANDARIN</v>
      </c>
      <c r="G210" s="5" t="str">
        <f>VLOOKUP(A210,DAY_8[],7,0)</f>
        <v>MACHINE LEARNING</v>
      </c>
      <c r="H210" s="5">
        <f>VLOOKUP(A210,DAY_8[],8,0)</f>
        <v>11</v>
      </c>
      <c r="I210" s="5">
        <f>VLOOKUP(A210,DAY_8[],10,0)</f>
        <v>75</v>
      </c>
      <c r="J210" s="5">
        <f>VLOOKUP(A210,DAY_8[],11,0)</f>
        <v>3.2</v>
      </c>
    </row>
    <row r="211" spans="1:10" x14ac:dyDescent="0.25">
      <c r="A211" s="2" t="s">
        <v>447</v>
      </c>
      <c r="B211" s="2" t="str">
        <f>VLOOKUP(A211,DAY_8[],2,0)</f>
        <v>FL250210</v>
      </c>
      <c r="C211" t="str">
        <f>VLOOKUP(A211,DAY_8[],3,0)</f>
        <v>FEMALE</v>
      </c>
      <c r="D211">
        <f>VLOOKUP(A211,DAY_8[],4,0)</f>
        <v>47</v>
      </c>
      <c r="E211" t="str">
        <f>VLOOKUP(A211,DAY_8[],5,0)</f>
        <v>GERMANY</v>
      </c>
      <c r="F211" s="5" t="str">
        <f>VLOOKUP(A211,DAY_8[],6,0)</f>
        <v>GERMANY</v>
      </c>
      <c r="G211" s="5" t="str">
        <f>VLOOKUP(A211,DAY_8[],7,0)</f>
        <v>DATA ANALYSIS</v>
      </c>
      <c r="H211" s="5">
        <f>VLOOKUP(A211,DAY_8[],8,0)</f>
        <v>15</v>
      </c>
      <c r="I211" s="5">
        <f>VLOOKUP(A211,DAY_8[],10,0)</f>
        <v>40</v>
      </c>
      <c r="J211" s="5">
        <f>VLOOKUP(A211,DAY_8[],11,0)</f>
        <v>2.1</v>
      </c>
    </row>
    <row r="212" spans="1:10" x14ac:dyDescent="0.25">
      <c r="A212" s="2" t="s">
        <v>449</v>
      </c>
      <c r="B212" s="2" t="str">
        <f>VLOOKUP(A212,DAY_8[],2,0)</f>
        <v>FL250211</v>
      </c>
      <c r="C212" t="str">
        <f>VLOOKUP(A212,DAY_8[],3,0)</f>
        <v>FEMALE</v>
      </c>
      <c r="D212">
        <f>VLOOKUP(A212,DAY_8[],4,0)</f>
        <v>43</v>
      </c>
      <c r="E212" t="str">
        <f>VLOOKUP(A212,DAY_8[],5,0)</f>
        <v>CANADA</v>
      </c>
      <c r="F212" s="5" t="str">
        <f>VLOOKUP(A212,DAY_8[],6,0)</f>
        <v>ENGLISH</v>
      </c>
      <c r="G212" s="5" t="str">
        <f>VLOOKUP(A212,DAY_8[],7,0)</f>
        <v>MOBILE APPS</v>
      </c>
      <c r="H212" s="5">
        <f>VLOOKUP(A212,DAY_8[],8,0)</f>
        <v>1</v>
      </c>
      <c r="I212" s="5">
        <f>VLOOKUP(A212,DAY_8[],10,0)</f>
        <v>50</v>
      </c>
      <c r="J212" s="5">
        <f>VLOOKUP(A212,DAY_8[],11,0)</f>
        <v>4.5999999999999996</v>
      </c>
    </row>
    <row r="213" spans="1:10" x14ac:dyDescent="0.25">
      <c r="A213" s="2" t="s">
        <v>451</v>
      </c>
      <c r="B213" s="2" t="str">
        <f>VLOOKUP(A213,DAY_8[],2,0)</f>
        <v>FL250212</v>
      </c>
      <c r="C213" t="str">
        <f>VLOOKUP(A213,DAY_8[],3,0)</f>
        <v>MALE</v>
      </c>
      <c r="D213">
        <f>VLOOKUP(A213,DAY_8[],4,0)</f>
        <v>57</v>
      </c>
      <c r="E213" t="str">
        <f>VLOOKUP(A213,DAY_8[],5,0)</f>
        <v>SOUTH KOREA</v>
      </c>
      <c r="F213" s="5" t="str">
        <f>VLOOKUP(A213,DAY_8[],6,0)</f>
        <v>KOREAN</v>
      </c>
      <c r="G213" s="5" t="str">
        <f>VLOOKUP(A213,DAY_8[],7,0)</f>
        <v>CYBERSECURITY</v>
      </c>
      <c r="H213" s="5">
        <f>VLOOKUP(A213,DAY_8[],8,0)</f>
        <v>8</v>
      </c>
      <c r="I213" s="5">
        <f>VLOOKUP(A213,DAY_8[],10,0)</f>
        <v>20</v>
      </c>
      <c r="J213" s="5">
        <f>VLOOKUP(A213,DAY_8[],11,0)</f>
        <v>0</v>
      </c>
    </row>
    <row r="214" spans="1:10" x14ac:dyDescent="0.25">
      <c r="A214" s="2" t="s">
        <v>453</v>
      </c>
      <c r="B214" s="2" t="str">
        <f>VLOOKUP(A214,DAY_8[],2,0)</f>
        <v>FL250213</v>
      </c>
      <c r="C214" t="str">
        <f>VLOOKUP(A214,DAY_8[],3,0)</f>
        <v>MALE</v>
      </c>
      <c r="D214">
        <f>VLOOKUP(A214,DAY_8[],4,0)</f>
        <v>52</v>
      </c>
      <c r="E214" t="str">
        <f>VLOOKUP(A214,DAY_8[],5,0)</f>
        <v>ITALY</v>
      </c>
      <c r="F214" s="5" t="str">
        <f>VLOOKUP(A214,DAY_8[],6,0)</f>
        <v>ITALIAN</v>
      </c>
      <c r="G214" s="5" t="str">
        <f>VLOOKUP(A214,DAY_8[],7,0)</f>
        <v>MACHINE LEARNING</v>
      </c>
      <c r="H214" s="5">
        <f>VLOOKUP(A214,DAY_8[],8,0)</f>
        <v>30</v>
      </c>
      <c r="I214" s="5">
        <f>VLOOKUP(A214,DAY_8[],10,0)</f>
        <v>20</v>
      </c>
      <c r="J214" s="5">
        <f>VLOOKUP(A214,DAY_8[],11,0)</f>
        <v>2.8</v>
      </c>
    </row>
    <row r="215" spans="1:10" x14ac:dyDescent="0.25">
      <c r="A215" s="2" t="s">
        <v>455</v>
      </c>
      <c r="B215" s="2" t="str">
        <f>VLOOKUP(A215,DAY_8[],2,0)</f>
        <v>FL250214</v>
      </c>
      <c r="C215" t="str">
        <f>VLOOKUP(A215,DAY_8[],3,0)</f>
        <v>MALE</v>
      </c>
      <c r="D215">
        <f>VLOOKUP(A215,DAY_8[],4,0)</f>
        <v>41</v>
      </c>
      <c r="E215" t="str">
        <f>VLOOKUP(A215,DAY_8[],5,0)</f>
        <v>GERMANY</v>
      </c>
      <c r="F215" s="5" t="str">
        <f>VLOOKUP(A215,DAY_8[],6,0)</f>
        <v>GERMANY</v>
      </c>
      <c r="G215" s="5" t="str">
        <f>VLOOKUP(A215,DAY_8[],7,0)</f>
        <v>BLOCKCHAIN DEVELOPMENT</v>
      </c>
      <c r="H215" s="5">
        <f>VLOOKUP(A215,DAY_8[],8,0)</f>
        <v>8</v>
      </c>
      <c r="I215" s="5">
        <f>VLOOKUP(A215,DAY_8[],10,0)</f>
        <v>40</v>
      </c>
      <c r="J215" s="5">
        <f>VLOOKUP(A215,DAY_8[],11,0)</f>
        <v>0</v>
      </c>
    </row>
    <row r="216" spans="1:10" x14ac:dyDescent="0.25">
      <c r="A216" s="2" t="s">
        <v>457</v>
      </c>
      <c r="B216" s="2" t="str">
        <f>VLOOKUP(A216,DAY_8[],2,0)</f>
        <v>FL250215</v>
      </c>
      <c r="C216" t="str">
        <f>VLOOKUP(A216,DAY_8[],3,0)</f>
        <v>FEMALE</v>
      </c>
      <c r="D216">
        <f>VLOOKUP(A216,DAY_8[],4,0)</f>
        <v>22</v>
      </c>
      <c r="E216" t="str">
        <f>VLOOKUP(A216,DAY_8[],5,0)</f>
        <v>INDONESIA</v>
      </c>
      <c r="F216" s="5" t="str">
        <f>VLOOKUP(A216,DAY_8[],6,0)</f>
        <v>INDONESIAN</v>
      </c>
      <c r="G216" s="5" t="str">
        <f>VLOOKUP(A216,DAY_8[],7,0)</f>
        <v>MACHINE LEARNING</v>
      </c>
      <c r="H216" s="5">
        <f>VLOOKUP(A216,DAY_8[],8,0)</f>
        <v>0</v>
      </c>
      <c r="I216" s="5">
        <f>VLOOKUP(A216,DAY_8[],10,0)</f>
        <v>100</v>
      </c>
      <c r="J216" s="5">
        <f>VLOOKUP(A216,DAY_8[],11,0)</f>
        <v>2.7</v>
      </c>
    </row>
    <row r="217" spans="1:10" x14ac:dyDescent="0.25">
      <c r="A217" s="2" t="s">
        <v>459</v>
      </c>
      <c r="B217" s="2" t="str">
        <f>VLOOKUP(A217,DAY_8[],2,0)</f>
        <v>FL250216</v>
      </c>
      <c r="C217" t="str">
        <f>VLOOKUP(A217,DAY_8[],3,0)</f>
        <v>MALE</v>
      </c>
      <c r="D217">
        <f>VLOOKUP(A217,DAY_8[],4,0)</f>
        <v>41</v>
      </c>
      <c r="E217" t="str">
        <f>VLOOKUP(A217,DAY_8[],5,0)</f>
        <v>INDIA</v>
      </c>
      <c r="F217" s="5" t="str">
        <f>VLOOKUP(A217,DAY_8[],6,0)</f>
        <v>HINDI</v>
      </c>
      <c r="G217" s="5" t="str">
        <f>VLOOKUP(A217,DAY_8[],7,0)</f>
        <v>MACHINE LEARNING</v>
      </c>
      <c r="H217" s="5">
        <f>VLOOKUP(A217,DAY_8[],8,0)</f>
        <v>12</v>
      </c>
      <c r="I217" s="5">
        <f>VLOOKUP(A217,DAY_8[],10,0)</f>
        <v>20</v>
      </c>
      <c r="J217" s="5">
        <f>VLOOKUP(A217,DAY_8[],11,0)</f>
        <v>0</v>
      </c>
    </row>
    <row r="218" spans="1:10" x14ac:dyDescent="0.25">
      <c r="A218" s="2" t="s">
        <v>461</v>
      </c>
      <c r="B218" s="2" t="str">
        <f>VLOOKUP(A218,DAY_8[],2,0)</f>
        <v>FL250217</v>
      </c>
      <c r="C218" t="str">
        <f>VLOOKUP(A218,DAY_8[],3,0)</f>
        <v>FEMALE</v>
      </c>
      <c r="D218">
        <f>VLOOKUP(A218,DAY_8[],4,0)</f>
        <v>58</v>
      </c>
      <c r="E218" t="str">
        <f>VLOOKUP(A218,DAY_8[],5,0)</f>
        <v>SPAIN</v>
      </c>
      <c r="F218" s="5" t="str">
        <f>VLOOKUP(A218,DAY_8[],6,0)</f>
        <v>SPANISH</v>
      </c>
      <c r="G218" s="5" t="str">
        <f>VLOOKUP(A218,DAY_8[],7,0)</f>
        <v>MOBILE APPS</v>
      </c>
      <c r="H218" s="5">
        <f>VLOOKUP(A218,DAY_8[],8,0)</f>
        <v>4</v>
      </c>
      <c r="I218" s="5">
        <f>VLOOKUP(A218,DAY_8[],10,0)</f>
        <v>50</v>
      </c>
      <c r="J218" s="5">
        <f>VLOOKUP(A218,DAY_8[],11,0)</f>
        <v>3.1</v>
      </c>
    </row>
    <row r="219" spans="1:10" x14ac:dyDescent="0.25">
      <c r="A219" s="2" t="s">
        <v>463</v>
      </c>
      <c r="B219" s="2" t="str">
        <f>VLOOKUP(A219,DAY_8[],2,0)</f>
        <v>FL250218</v>
      </c>
      <c r="C219" t="str">
        <f>VLOOKUP(A219,DAY_8[],3,0)</f>
        <v>MALE</v>
      </c>
      <c r="D219">
        <f>VLOOKUP(A219,DAY_8[],4,0)</f>
        <v>39</v>
      </c>
      <c r="E219" t="str">
        <f>VLOOKUP(A219,DAY_8[],5,0)</f>
        <v>SOUTH KOREA</v>
      </c>
      <c r="F219" s="5" t="str">
        <f>VLOOKUP(A219,DAY_8[],6,0)</f>
        <v>KOREAN</v>
      </c>
      <c r="G219" s="5" t="str">
        <f>VLOOKUP(A219,DAY_8[],7,0)</f>
        <v>WEB DEVELOPMENT</v>
      </c>
      <c r="H219" s="5">
        <f>VLOOKUP(A219,DAY_8[],8,0)</f>
        <v>14</v>
      </c>
      <c r="I219" s="5">
        <f>VLOOKUP(A219,DAY_8[],10,0)</f>
        <v>100</v>
      </c>
      <c r="J219" s="5">
        <f>VLOOKUP(A219,DAY_8[],11,0)</f>
        <v>0</v>
      </c>
    </row>
    <row r="220" spans="1:10" x14ac:dyDescent="0.25">
      <c r="A220" s="2" t="s">
        <v>465</v>
      </c>
      <c r="B220" s="2" t="str">
        <f>VLOOKUP(A220,DAY_8[],2,0)</f>
        <v>FL250219</v>
      </c>
      <c r="C220" t="str">
        <f>VLOOKUP(A220,DAY_8[],3,0)</f>
        <v>MALE</v>
      </c>
      <c r="D220">
        <f>VLOOKUP(A220,DAY_8[],4,0)</f>
        <v>32</v>
      </c>
      <c r="E220" t="str">
        <f>VLOOKUP(A220,DAY_8[],5,0)</f>
        <v>INDONESIA</v>
      </c>
      <c r="F220" s="5" t="str">
        <f>VLOOKUP(A220,DAY_8[],6,0)</f>
        <v>INDONESIAN</v>
      </c>
      <c r="G220" s="5" t="str">
        <f>VLOOKUP(A220,DAY_8[],7,0)</f>
        <v>GRAPHIC DESIGN</v>
      </c>
      <c r="H220" s="5">
        <f>VLOOKUP(A220,DAY_8[],8,0)</f>
        <v>14</v>
      </c>
      <c r="I220" s="5">
        <f>VLOOKUP(A220,DAY_8[],10,0)</f>
        <v>70</v>
      </c>
      <c r="J220" s="5">
        <f>VLOOKUP(A220,DAY_8[],11,0)</f>
        <v>2.4</v>
      </c>
    </row>
    <row r="221" spans="1:10" x14ac:dyDescent="0.25">
      <c r="A221" s="2" t="s">
        <v>467</v>
      </c>
      <c r="B221" s="2" t="str">
        <f>VLOOKUP(A221,DAY_8[],2,0)</f>
        <v>FL250220</v>
      </c>
      <c r="C221" t="str">
        <f>VLOOKUP(A221,DAY_8[],3,0)</f>
        <v>MALE</v>
      </c>
      <c r="D221">
        <f>VLOOKUP(A221,DAY_8[],4,0)</f>
        <v>37</v>
      </c>
      <c r="E221" t="str">
        <f>VLOOKUP(A221,DAY_8[],5,0)</f>
        <v>CANADA</v>
      </c>
      <c r="F221" s="5" t="str">
        <f>VLOOKUP(A221,DAY_8[],6,0)</f>
        <v>ENGLISH</v>
      </c>
      <c r="G221" s="5" t="str">
        <f>VLOOKUP(A221,DAY_8[],7,0)</f>
        <v>UI/UX DESIGN</v>
      </c>
      <c r="H221" s="5">
        <f>VLOOKUP(A221,DAY_8[],8,0)</f>
        <v>2</v>
      </c>
      <c r="I221" s="5">
        <f>VLOOKUP(A221,DAY_8[],10,0)</f>
        <v>30</v>
      </c>
      <c r="J221" s="5">
        <f>VLOOKUP(A221,DAY_8[],11,0)</f>
        <v>2.2999999999999998</v>
      </c>
    </row>
    <row r="222" spans="1:10" x14ac:dyDescent="0.25">
      <c r="A222" s="2" t="s">
        <v>469</v>
      </c>
      <c r="B222" s="2" t="str">
        <f>VLOOKUP(A222,DAY_8[],2,0)</f>
        <v>FL250221</v>
      </c>
      <c r="C222" t="str">
        <f>VLOOKUP(A222,DAY_8[],3,0)</f>
        <v>FEMALE</v>
      </c>
      <c r="D222">
        <f>VLOOKUP(A222,DAY_8[],4,0)</f>
        <v>21</v>
      </c>
      <c r="E222" t="str">
        <f>VLOOKUP(A222,DAY_8[],5,0)</f>
        <v>CHINA</v>
      </c>
      <c r="F222" s="5" t="str">
        <f>VLOOKUP(A222,DAY_8[],6,0)</f>
        <v>MANDARIN</v>
      </c>
      <c r="G222" s="5" t="str">
        <f>VLOOKUP(A222,DAY_8[],7,0)</f>
        <v>CYBERSECURITY</v>
      </c>
      <c r="H222" s="5">
        <f>VLOOKUP(A222,DAY_8[],8,0)</f>
        <v>2</v>
      </c>
      <c r="I222" s="5">
        <f>VLOOKUP(A222,DAY_8[],10,0)</f>
        <v>100</v>
      </c>
      <c r="J222" s="5">
        <f>VLOOKUP(A222,DAY_8[],11,0)</f>
        <v>2.4</v>
      </c>
    </row>
    <row r="223" spans="1:10" x14ac:dyDescent="0.25">
      <c r="A223" s="2" t="s">
        <v>471</v>
      </c>
      <c r="B223" s="2" t="str">
        <f>VLOOKUP(A223,DAY_8[],2,0)</f>
        <v>FL250222</v>
      </c>
      <c r="C223" t="str">
        <f>VLOOKUP(A223,DAY_8[],3,0)</f>
        <v>MALE</v>
      </c>
      <c r="D223">
        <f>VLOOKUP(A223,DAY_8[],4,0)</f>
        <v>41</v>
      </c>
      <c r="E223" t="str">
        <f>VLOOKUP(A223,DAY_8[],5,0)</f>
        <v>SOUTH KOREA</v>
      </c>
      <c r="F223" s="5" t="str">
        <f>VLOOKUP(A223,DAY_8[],6,0)</f>
        <v>KOREAN</v>
      </c>
      <c r="G223" s="5" t="str">
        <f>VLOOKUP(A223,DAY_8[],7,0)</f>
        <v>MACHINE LEARNING</v>
      </c>
      <c r="H223" s="5">
        <f>VLOOKUP(A223,DAY_8[],8,0)</f>
        <v>4</v>
      </c>
      <c r="I223" s="5">
        <f>VLOOKUP(A223,DAY_8[],10,0)</f>
        <v>75</v>
      </c>
      <c r="J223" s="5">
        <f>VLOOKUP(A223,DAY_8[],11,0)</f>
        <v>2.6</v>
      </c>
    </row>
    <row r="224" spans="1:10" x14ac:dyDescent="0.25">
      <c r="A224" s="2" t="s">
        <v>473</v>
      </c>
      <c r="B224" s="2" t="str">
        <f>VLOOKUP(A224,DAY_8[],2,0)</f>
        <v>FL250223</v>
      </c>
      <c r="C224" t="str">
        <f>VLOOKUP(A224,DAY_8[],3,0)</f>
        <v>FEMALE</v>
      </c>
      <c r="D224">
        <f>VLOOKUP(A224,DAY_8[],4,0)</f>
        <v>21</v>
      </c>
      <c r="E224" t="str">
        <f>VLOOKUP(A224,DAY_8[],5,0)</f>
        <v>CANADA</v>
      </c>
      <c r="F224" s="5" t="str">
        <f>VLOOKUP(A224,DAY_8[],6,0)</f>
        <v>ENGLISH</v>
      </c>
      <c r="G224" s="5" t="str">
        <f>VLOOKUP(A224,DAY_8[],7,0)</f>
        <v>AI</v>
      </c>
      <c r="H224" s="5">
        <f>VLOOKUP(A224,DAY_8[],8,0)</f>
        <v>0</v>
      </c>
      <c r="I224" s="5">
        <f>VLOOKUP(A224,DAY_8[],10,0)</f>
        <v>40</v>
      </c>
      <c r="J224" s="5">
        <f>VLOOKUP(A224,DAY_8[],11,0)</f>
        <v>1.1000000000000001</v>
      </c>
    </row>
    <row r="225" spans="1:10" x14ac:dyDescent="0.25">
      <c r="A225" s="2" t="s">
        <v>475</v>
      </c>
      <c r="B225" s="2" t="str">
        <f>VLOOKUP(A225,DAY_8[],2,0)</f>
        <v>FL250224</v>
      </c>
      <c r="C225" t="str">
        <f>VLOOKUP(A225,DAY_8[],3,0)</f>
        <v>FEMALE</v>
      </c>
      <c r="D225">
        <f>VLOOKUP(A225,DAY_8[],4,0)</f>
        <v>58</v>
      </c>
      <c r="E225" t="str">
        <f>VLOOKUP(A225,DAY_8[],5,0)</f>
        <v>CHINA</v>
      </c>
      <c r="F225" s="5" t="str">
        <f>VLOOKUP(A225,DAY_8[],6,0)</f>
        <v>MANDARIN</v>
      </c>
      <c r="G225" s="5" t="str">
        <f>VLOOKUP(A225,DAY_8[],7,0)</f>
        <v>MACHINE LEARNING</v>
      </c>
      <c r="H225" s="5">
        <f>VLOOKUP(A225,DAY_8[],8,0)</f>
        <v>9</v>
      </c>
      <c r="I225" s="5">
        <f>VLOOKUP(A225,DAY_8[],10,0)</f>
        <v>30</v>
      </c>
      <c r="J225" s="5">
        <f>VLOOKUP(A225,DAY_8[],11,0)</f>
        <v>0</v>
      </c>
    </row>
    <row r="226" spans="1:10" x14ac:dyDescent="0.25">
      <c r="A226" s="2" t="s">
        <v>477</v>
      </c>
      <c r="B226" s="2" t="str">
        <f>VLOOKUP(A226,DAY_8[],2,0)</f>
        <v>FL250225</v>
      </c>
      <c r="C226" t="str">
        <f>VLOOKUP(A226,DAY_8[],3,0)</f>
        <v>MALE</v>
      </c>
      <c r="D226">
        <f>VLOOKUP(A226,DAY_8[],4,0)</f>
        <v>60</v>
      </c>
      <c r="E226" t="str">
        <f>VLOOKUP(A226,DAY_8[],5,0)</f>
        <v>CANADA</v>
      </c>
      <c r="F226" s="5" t="str">
        <f>VLOOKUP(A226,DAY_8[],6,0)</f>
        <v>ENGLISH</v>
      </c>
      <c r="G226" s="5" t="str">
        <f>VLOOKUP(A226,DAY_8[],7,0)</f>
        <v>MACHINE LEARNING</v>
      </c>
      <c r="H226" s="5">
        <f>VLOOKUP(A226,DAY_8[],8,0)</f>
        <v>3</v>
      </c>
      <c r="I226" s="5">
        <f>VLOOKUP(A226,DAY_8[],10,0)</f>
        <v>40</v>
      </c>
      <c r="J226" s="5">
        <f>VLOOKUP(A226,DAY_8[],11,0)</f>
        <v>4.7</v>
      </c>
    </row>
    <row r="227" spans="1:10" x14ac:dyDescent="0.25">
      <c r="A227" s="2" t="s">
        <v>479</v>
      </c>
      <c r="B227" s="2" t="str">
        <f>VLOOKUP(A227,DAY_8[],2,0)</f>
        <v>FL250226</v>
      </c>
      <c r="C227" t="str">
        <f>VLOOKUP(A227,DAY_8[],3,0)</f>
        <v>MALE</v>
      </c>
      <c r="D227">
        <f>VLOOKUP(A227,DAY_8[],4,0)</f>
        <v>27</v>
      </c>
      <c r="E227" t="str">
        <f>VLOOKUP(A227,DAY_8[],5,0)</f>
        <v>SOUTH AFRICA</v>
      </c>
      <c r="F227" s="5" t="str">
        <f>VLOOKUP(A227,DAY_8[],6,0)</f>
        <v>AFRIKAANS</v>
      </c>
      <c r="G227" s="5" t="str">
        <f>VLOOKUP(A227,DAY_8[],7,0)</f>
        <v>WEB DEVELOPMENT</v>
      </c>
      <c r="H227" s="5">
        <f>VLOOKUP(A227,DAY_8[],8,0)</f>
        <v>2</v>
      </c>
      <c r="I227" s="5">
        <f>VLOOKUP(A227,DAY_8[],10,0)</f>
        <v>40</v>
      </c>
      <c r="J227" s="5">
        <f>VLOOKUP(A227,DAY_8[],11,0)</f>
        <v>1.2</v>
      </c>
    </row>
    <row r="228" spans="1:10" x14ac:dyDescent="0.25">
      <c r="A228" s="2" t="s">
        <v>481</v>
      </c>
      <c r="B228" s="2" t="str">
        <f>VLOOKUP(A228,DAY_8[],2,0)</f>
        <v>FL250227</v>
      </c>
      <c r="C228" t="str">
        <f>VLOOKUP(A228,DAY_8[],3,0)</f>
        <v>FEMALE</v>
      </c>
      <c r="D228">
        <f>VLOOKUP(A228,DAY_8[],4,0)</f>
        <v>29</v>
      </c>
      <c r="E228" t="str">
        <f>VLOOKUP(A228,DAY_8[],5,0)</f>
        <v>GERMANY</v>
      </c>
      <c r="F228" s="5" t="str">
        <f>VLOOKUP(A228,DAY_8[],6,0)</f>
        <v>GERMANY</v>
      </c>
      <c r="G228" s="5" t="str">
        <f>VLOOKUP(A228,DAY_8[],7,0)</f>
        <v>MACHINE LEARNING</v>
      </c>
      <c r="H228" s="5">
        <f>VLOOKUP(A228,DAY_8[],8,0)</f>
        <v>10</v>
      </c>
      <c r="I228" s="5">
        <f>VLOOKUP(A228,DAY_8[],10,0)</f>
        <v>40</v>
      </c>
      <c r="J228" s="5">
        <f>VLOOKUP(A228,DAY_8[],11,0)</f>
        <v>1.2</v>
      </c>
    </row>
    <row r="229" spans="1:10" x14ac:dyDescent="0.25">
      <c r="A229" s="2" t="s">
        <v>483</v>
      </c>
      <c r="B229" s="2" t="str">
        <f>VLOOKUP(A229,DAY_8[],2,0)</f>
        <v>FL250228</v>
      </c>
      <c r="C229" t="str">
        <f>VLOOKUP(A229,DAY_8[],3,0)</f>
        <v>FEMALE</v>
      </c>
      <c r="D229">
        <f>VLOOKUP(A229,DAY_8[],4,0)</f>
        <v>54</v>
      </c>
      <c r="E229" t="str">
        <f>VLOOKUP(A229,DAY_8[],5,0)</f>
        <v>CANADA</v>
      </c>
      <c r="F229" s="5" t="str">
        <f>VLOOKUP(A229,DAY_8[],6,0)</f>
        <v>ENGLISH</v>
      </c>
      <c r="G229" s="5" t="str">
        <f>VLOOKUP(A229,DAY_8[],7,0)</f>
        <v>GRAPHIC DESIGN</v>
      </c>
      <c r="H229" s="5">
        <f>VLOOKUP(A229,DAY_8[],8,0)</f>
        <v>33</v>
      </c>
      <c r="I229" s="5">
        <f>VLOOKUP(A229,DAY_8[],10,0)</f>
        <v>75</v>
      </c>
      <c r="J229" s="5">
        <f>VLOOKUP(A229,DAY_8[],11,0)</f>
        <v>0</v>
      </c>
    </row>
    <row r="230" spans="1:10" x14ac:dyDescent="0.25">
      <c r="A230" s="2" t="s">
        <v>485</v>
      </c>
      <c r="B230" s="2" t="str">
        <f>VLOOKUP(A230,DAY_8[],2,0)</f>
        <v>FL250229</v>
      </c>
      <c r="C230" t="str">
        <f>VLOOKUP(A230,DAY_8[],3,0)</f>
        <v>MALE</v>
      </c>
      <c r="D230">
        <f>VLOOKUP(A230,DAY_8[],4,0)</f>
        <v>52</v>
      </c>
      <c r="E230" t="str">
        <f>VLOOKUP(A230,DAY_8[],5,0)</f>
        <v>MEXICO</v>
      </c>
      <c r="F230" s="5" t="str">
        <f>VLOOKUP(A230,DAY_8[],6,0)</f>
        <v>SPANISH</v>
      </c>
      <c r="G230" s="5" t="str">
        <f>VLOOKUP(A230,DAY_8[],7,0)</f>
        <v>MACHINE LEARNING</v>
      </c>
      <c r="H230" s="5">
        <f>VLOOKUP(A230,DAY_8[],8,0)</f>
        <v>12</v>
      </c>
      <c r="I230" s="5">
        <f>VLOOKUP(A230,DAY_8[],10,0)</f>
        <v>40</v>
      </c>
      <c r="J230" s="5">
        <f>VLOOKUP(A230,DAY_8[],11,0)</f>
        <v>1.2</v>
      </c>
    </row>
    <row r="231" spans="1:10" x14ac:dyDescent="0.25">
      <c r="A231" s="2" t="s">
        <v>487</v>
      </c>
      <c r="B231" s="2" t="str">
        <f>VLOOKUP(A231,DAY_8[],2,0)</f>
        <v>FL250230</v>
      </c>
      <c r="C231" t="str">
        <f>VLOOKUP(A231,DAY_8[],3,0)</f>
        <v>FEMALE</v>
      </c>
      <c r="D231">
        <f>VLOOKUP(A231,DAY_8[],4,0)</f>
        <v>55</v>
      </c>
      <c r="E231" t="str">
        <f>VLOOKUP(A231,DAY_8[],5,0)</f>
        <v>INDONESIA</v>
      </c>
      <c r="F231" s="5" t="str">
        <f>VLOOKUP(A231,DAY_8[],6,0)</f>
        <v>INDONESIAN</v>
      </c>
      <c r="G231" s="5" t="str">
        <f>VLOOKUP(A231,DAY_8[],7,0)</f>
        <v>BLOCKCHAIN DEVELOPMENT</v>
      </c>
      <c r="H231" s="5">
        <f>VLOOKUP(A231,DAY_8[],8,0)</f>
        <v>18</v>
      </c>
      <c r="I231" s="5">
        <f>VLOOKUP(A231,DAY_8[],10,0)</f>
        <v>100</v>
      </c>
      <c r="J231" s="5">
        <f>VLOOKUP(A231,DAY_8[],11,0)</f>
        <v>2.9</v>
      </c>
    </row>
    <row r="232" spans="1:10" x14ac:dyDescent="0.25">
      <c r="A232" s="2" t="s">
        <v>489</v>
      </c>
      <c r="B232" s="2" t="str">
        <f>VLOOKUP(A232,DAY_8[],2,0)</f>
        <v>FL250231</v>
      </c>
      <c r="C232" t="str">
        <f>VLOOKUP(A232,DAY_8[],3,0)</f>
        <v>MALE</v>
      </c>
      <c r="D232">
        <f>VLOOKUP(A232,DAY_8[],4,0)</f>
        <v>37</v>
      </c>
      <c r="E232" t="str">
        <f>VLOOKUP(A232,DAY_8[],5,0)</f>
        <v>BRAZIL</v>
      </c>
      <c r="F232" s="5" t="str">
        <f>VLOOKUP(A232,DAY_8[],6,0)</f>
        <v>PORTUGUESE</v>
      </c>
      <c r="G232" s="5" t="str">
        <f>VLOOKUP(A232,DAY_8[],7,0)</f>
        <v>BLOCKCHAIN DEVELOPMENT</v>
      </c>
      <c r="H232" s="5">
        <f>VLOOKUP(A232,DAY_8[],8,0)</f>
        <v>4</v>
      </c>
      <c r="I232" s="5">
        <f>VLOOKUP(A232,DAY_8[],10,0)</f>
        <v>70</v>
      </c>
      <c r="J232" s="5">
        <f>VLOOKUP(A232,DAY_8[],11,0)</f>
        <v>2.4</v>
      </c>
    </row>
    <row r="233" spans="1:10" x14ac:dyDescent="0.25">
      <c r="A233" s="2" t="s">
        <v>491</v>
      </c>
      <c r="B233" s="2" t="str">
        <f>VLOOKUP(A233,DAY_8[],2,0)</f>
        <v>FL250232</v>
      </c>
      <c r="C233" t="str">
        <f>VLOOKUP(A233,DAY_8[],3,0)</f>
        <v>FEMALE</v>
      </c>
      <c r="D233">
        <f>VLOOKUP(A233,DAY_8[],4,0)</f>
        <v>34</v>
      </c>
      <c r="E233" t="str">
        <f>VLOOKUP(A233,DAY_8[],5,0)</f>
        <v>EGYPT</v>
      </c>
      <c r="F233" s="5" t="str">
        <f>VLOOKUP(A233,DAY_8[],6,0)</f>
        <v>ARABIC</v>
      </c>
      <c r="G233" s="5" t="str">
        <f>VLOOKUP(A233,DAY_8[],7,0)</f>
        <v>DATA ANALYSIS</v>
      </c>
      <c r="H233" s="5">
        <f>VLOOKUP(A233,DAY_8[],8,0)</f>
        <v>11</v>
      </c>
      <c r="I233" s="5">
        <f>VLOOKUP(A233,DAY_8[],10,0)</f>
        <v>50</v>
      </c>
      <c r="J233" s="5">
        <f>VLOOKUP(A233,DAY_8[],11,0)</f>
        <v>3.9</v>
      </c>
    </row>
    <row r="234" spans="1:10" x14ac:dyDescent="0.25">
      <c r="A234" s="2" t="s">
        <v>493</v>
      </c>
      <c r="B234" s="2" t="str">
        <f>VLOOKUP(A234,DAY_8[],2,0)</f>
        <v>FL250233</v>
      </c>
      <c r="C234" t="str">
        <f>VLOOKUP(A234,DAY_8[],3,0)</f>
        <v>MALE</v>
      </c>
      <c r="D234">
        <f>VLOOKUP(A234,DAY_8[],4,0)</f>
        <v>20</v>
      </c>
      <c r="E234" t="str">
        <f>VLOOKUP(A234,DAY_8[],5,0)</f>
        <v>FRANCE</v>
      </c>
      <c r="F234" s="5" t="str">
        <f>VLOOKUP(A234,DAY_8[],6,0)</f>
        <v>FRENCH</v>
      </c>
      <c r="G234" s="5" t="str">
        <f>VLOOKUP(A234,DAY_8[],7,0)</f>
        <v>DATA ANALYSIS</v>
      </c>
      <c r="H234" s="5">
        <f>VLOOKUP(A234,DAY_8[],8,0)</f>
        <v>1</v>
      </c>
      <c r="I234" s="5">
        <f>VLOOKUP(A234,DAY_8[],10,0)</f>
        <v>50</v>
      </c>
      <c r="J234" s="5">
        <f>VLOOKUP(A234,DAY_8[],11,0)</f>
        <v>3.1</v>
      </c>
    </row>
    <row r="235" spans="1:10" x14ac:dyDescent="0.25">
      <c r="A235" s="2" t="s">
        <v>495</v>
      </c>
      <c r="B235" s="2" t="str">
        <f>VLOOKUP(A235,DAY_8[],2,0)</f>
        <v>FL250234</v>
      </c>
      <c r="C235" t="str">
        <f>VLOOKUP(A235,DAY_8[],3,0)</f>
        <v>MALE</v>
      </c>
      <c r="D235">
        <f>VLOOKUP(A235,DAY_8[],4,0)</f>
        <v>22</v>
      </c>
      <c r="E235" t="str">
        <f>VLOOKUP(A235,DAY_8[],5,0)</f>
        <v>MEXICO</v>
      </c>
      <c r="F235" s="5" t="str">
        <f>VLOOKUP(A235,DAY_8[],6,0)</f>
        <v>SPANISH</v>
      </c>
      <c r="G235" s="5" t="str">
        <f>VLOOKUP(A235,DAY_8[],7,0)</f>
        <v>UI/UX DESIGN</v>
      </c>
      <c r="H235" s="5">
        <f>VLOOKUP(A235,DAY_8[],8,0)</f>
        <v>2</v>
      </c>
      <c r="I235" s="5">
        <f>VLOOKUP(A235,DAY_8[],10,0)</f>
        <v>70</v>
      </c>
      <c r="J235" s="5">
        <f>VLOOKUP(A235,DAY_8[],11,0)</f>
        <v>0</v>
      </c>
    </row>
    <row r="236" spans="1:10" x14ac:dyDescent="0.25">
      <c r="A236" s="2" t="s">
        <v>497</v>
      </c>
      <c r="B236" s="2" t="str">
        <f>VLOOKUP(A236,DAY_8[],2,0)</f>
        <v>FL250235</v>
      </c>
      <c r="C236" t="str">
        <f>VLOOKUP(A236,DAY_8[],3,0)</f>
        <v>FEMALE</v>
      </c>
      <c r="D236">
        <f>VLOOKUP(A236,DAY_8[],4,0)</f>
        <v>23</v>
      </c>
      <c r="E236" t="str">
        <f>VLOOKUP(A236,DAY_8[],5,0)</f>
        <v>SOUTH KOREA</v>
      </c>
      <c r="F236" s="5" t="str">
        <f>VLOOKUP(A236,DAY_8[],6,0)</f>
        <v>KOREAN</v>
      </c>
      <c r="G236" s="5" t="str">
        <f>VLOOKUP(A236,DAY_8[],7,0)</f>
        <v>GRAPHIC DESIGN</v>
      </c>
      <c r="H236" s="5">
        <f>VLOOKUP(A236,DAY_8[],8,0)</f>
        <v>2</v>
      </c>
      <c r="I236" s="5">
        <f>VLOOKUP(A236,DAY_8[],10,0)</f>
        <v>50</v>
      </c>
      <c r="J236" s="5">
        <f>VLOOKUP(A236,DAY_8[],11,0)</f>
        <v>3.2</v>
      </c>
    </row>
    <row r="237" spans="1:10" x14ac:dyDescent="0.25">
      <c r="A237" s="2" t="s">
        <v>499</v>
      </c>
      <c r="B237" s="2" t="str">
        <f>VLOOKUP(A237,DAY_8[],2,0)</f>
        <v>FL250236</v>
      </c>
      <c r="C237" t="str">
        <f>VLOOKUP(A237,DAY_8[],3,0)</f>
        <v>FEMALE</v>
      </c>
      <c r="D237">
        <f>VLOOKUP(A237,DAY_8[],4,0)</f>
        <v>53</v>
      </c>
      <c r="E237" t="str">
        <f>VLOOKUP(A237,DAY_8[],5,0)</f>
        <v>SOUTH KOREA</v>
      </c>
      <c r="F237" s="5" t="str">
        <f>VLOOKUP(A237,DAY_8[],6,0)</f>
        <v>KOREAN</v>
      </c>
      <c r="G237" s="5" t="str">
        <f>VLOOKUP(A237,DAY_8[],7,0)</f>
        <v>BLOCKCHAIN DEVELOPMENT</v>
      </c>
      <c r="H237" s="5">
        <f>VLOOKUP(A237,DAY_8[],8,0)</f>
        <v>34</v>
      </c>
      <c r="I237" s="5">
        <f>VLOOKUP(A237,DAY_8[],10,0)</f>
        <v>30</v>
      </c>
      <c r="J237" s="5">
        <f>VLOOKUP(A237,DAY_8[],11,0)</f>
        <v>2.4</v>
      </c>
    </row>
    <row r="238" spans="1:10" x14ac:dyDescent="0.25">
      <c r="A238" s="2" t="s">
        <v>501</v>
      </c>
      <c r="B238" s="2" t="str">
        <f>VLOOKUP(A238,DAY_8[],2,0)</f>
        <v>FL250237</v>
      </c>
      <c r="C238" t="str">
        <f>VLOOKUP(A238,DAY_8[],3,0)</f>
        <v>FEMALE</v>
      </c>
      <c r="D238">
        <f>VLOOKUP(A238,DAY_8[],4,0)</f>
        <v>56</v>
      </c>
      <c r="E238" t="str">
        <f>VLOOKUP(A238,DAY_8[],5,0)</f>
        <v>SOUTH KOREA</v>
      </c>
      <c r="F238" s="5" t="str">
        <f>VLOOKUP(A238,DAY_8[],6,0)</f>
        <v>KOREAN</v>
      </c>
      <c r="G238" s="5" t="str">
        <f>VLOOKUP(A238,DAY_8[],7,0)</f>
        <v>GRAPHIC DESIGN</v>
      </c>
      <c r="H238" s="5">
        <f>VLOOKUP(A238,DAY_8[],8,0)</f>
        <v>27</v>
      </c>
      <c r="I238" s="5">
        <f>VLOOKUP(A238,DAY_8[],10,0)</f>
        <v>100</v>
      </c>
      <c r="J238" s="5">
        <f>VLOOKUP(A238,DAY_8[],11,0)</f>
        <v>4.7</v>
      </c>
    </row>
    <row r="239" spans="1:10" x14ac:dyDescent="0.25">
      <c r="A239" s="2" t="s">
        <v>503</v>
      </c>
      <c r="B239" s="2" t="str">
        <f>VLOOKUP(A239,DAY_8[],2,0)</f>
        <v>FL250238</v>
      </c>
      <c r="C239" t="str">
        <f>VLOOKUP(A239,DAY_8[],3,0)</f>
        <v>MALE</v>
      </c>
      <c r="D239">
        <f>VLOOKUP(A239,DAY_8[],4,0)</f>
        <v>27</v>
      </c>
      <c r="E239" t="str">
        <f>VLOOKUP(A239,DAY_8[],5,0)</f>
        <v>CANADA</v>
      </c>
      <c r="F239" s="5" t="str">
        <f>VLOOKUP(A239,DAY_8[],6,0)</f>
        <v>ENGLISH</v>
      </c>
      <c r="G239" s="5" t="str">
        <f>VLOOKUP(A239,DAY_8[],7,0)</f>
        <v>AI</v>
      </c>
      <c r="H239" s="5">
        <f>VLOOKUP(A239,DAY_8[],8,0)</f>
        <v>4</v>
      </c>
      <c r="I239" s="5">
        <f>VLOOKUP(A239,DAY_8[],10,0)</f>
        <v>75</v>
      </c>
      <c r="J239" s="5">
        <f>VLOOKUP(A239,DAY_8[],11,0)</f>
        <v>5</v>
      </c>
    </row>
    <row r="240" spans="1:10" x14ac:dyDescent="0.25">
      <c r="A240" s="2" t="s">
        <v>505</v>
      </c>
      <c r="B240" s="2" t="str">
        <f>VLOOKUP(A240,DAY_8[],2,0)</f>
        <v>FL250239</v>
      </c>
      <c r="C240" t="str">
        <f>VLOOKUP(A240,DAY_8[],3,0)</f>
        <v>MALE</v>
      </c>
      <c r="D240">
        <f>VLOOKUP(A240,DAY_8[],4,0)</f>
        <v>34</v>
      </c>
      <c r="E240" t="str">
        <f>VLOOKUP(A240,DAY_8[],5,0)</f>
        <v>ITALY</v>
      </c>
      <c r="F240" s="5" t="str">
        <f>VLOOKUP(A240,DAY_8[],6,0)</f>
        <v>ITALIAN</v>
      </c>
      <c r="G240" s="5" t="str">
        <f>VLOOKUP(A240,DAY_8[],7,0)</f>
        <v>MOBILE APPS</v>
      </c>
      <c r="H240" s="5">
        <f>VLOOKUP(A240,DAY_8[],8,0)</f>
        <v>11</v>
      </c>
      <c r="I240" s="5">
        <f>VLOOKUP(A240,DAY_8[],10,0)</f>
        <v>40</v>
      </c>
      <c r="J240" s="5">
        <f>VLOOKUP(A240,DAY_8[],11,0)</f>
        <v>2.4</v>
      </c>
    </row>
    <row r="241" spans="1:10" x14ac:dyDescent="0.25">
      <c r="A241" s="2" t="s">
        <v>507</v>
      </c>
      <c r="B241" s="2" t="str">
        <f>VLOOKUP(A241,DAY_8[],2,0)</f>
        <v>FL250240</v>
      </c>
      <c r="C241" t="str">
        <f>VLOOKUP(A241,DAY_8[],3,0)</f>
        <v>MALE</v>
      </c>
      <c r="D241">
        <f>VLOOKUP(A241,DAY_8[],4,0)</f>
        <v>29</v>
      </c>
      <c r="E241" t="str">
        <f>VLOOKUP(A241,DAY_8[],5,0)</f>
        <v>US</v>
      </c>
      <c r="F241" s="5" t="str">
        <f>VLOOKUP(A241,DAY_8[],6,0)</f>
        <v>ENGLISH</v>
      </c>
      <c r="G241" s="5" t="str">
        <f>VLOOKUP(A241,DAY_8[],7,0)</f>
        <v>WEB DEVELOPMENT</v>
      </c>
      <c r="H241" s="5">
        <f>VLOOKUP(A241,DAY_8[],8,0)</f>
        <v>4</v>
      </c>
      <c r="I241" s="5">
        <f>VLOOKUP(A241,DAY_8[],10,0)</f>
        <v>50</v>
      </c>
      <c r="J241" s="5">
        <f>VLOOKUP(A241,DAY_8[],11,0)</f>
        <v>4</v>
      </c>
    </row>
    <row r="242" spans="1:10" x14ac:dyDescent="0.25">
      <c r="A242" s="2" t="s">
        <v>509</v>
      </c>
      <c r="B242" s="2" t="str">
        <f>VLOOKUP(A242,DAY_8[],2,0)</f>
        <v>FL250241</v>
      </c>
      <c r="C242" t="str">
        <f>VLOOKUP(A242,DAY_8[],3,0)</f>
        <v>MALE</v>
      </c>
      <c r="D242">
        <f>VLOOKUP(A242,DAY_8[],4,0)</f>
        <v>34</v>
      </c>
      <c r="E242" t="str">
        <f>VLOOKUP(A242,DAY_8[],5,0)</f>
        <v>INDIA</v>
      </c>
      <c r="F242" s="5" t="str">
        <f>VLOOKUP(A242,DAY_8[],6,0)</f>
        <v>HINDI</v>
      </c>
      <c r="G242" s="5" t="str">
        <f>VLOOKUP(A242,DAY_8[],7,0)</f>
        <v>AI</v>
      </c>
      <c r="H242" s="5">
        <f>VLOOKUP(A242,DAY_8[],8,0)</f>
        <v>11</v>
      </c>
      <c r="I242" s="5">
        <f>VLOOKUP(A242,DAY_8[],10,0)</f>
        <v>70</v>
      </c>
      <c r="J242" s="5">
        <f>VLOOKUP(A242,DAY_8[],11,0)</f>
        <v>1.2</v>
      </c>
    </row>
    <row r="243" spans="1:10" x14ac:dyDescent="0.25">
      <c r="A243" s="2" t="s">
        <v>511</v>
      </c>
      <c r="B243" s="2" t="str">
        <f>VLOOKUP(A243,DAY_8[],2,0)</f>
        <v>FL250242</v>
      </c>
      <c r="C243" t="str">
        <f>VLOOKUP(A243,DAY_8[],3,0)</f>
        <v>FEMALE</v>
      </c>
      <c r="D243">
        <f>VLOOKUP(A243,DAY_8[],4,0)</f>
        <v>32</v>
      </c>
      <c r="E243" t="str">
        <f>VLOOKUP(A243,DAY_8[],5,0)</f>
        <v>MEXICO</v>
      </c>
      <c r="F243" s="5" t="str">
        <f>VLOOKUP(A243,DAY_8[],6,0)</f>
        <v>SPANISH</v>
      </c>
      <c r="G243" s="5" t="str">
        <f>VLOOKUP(A243,DAY_8[],7,0)</f>
        <v>AI</v>
      </c>
      <c r="H243" s="5">
        <f>VLOOKUP(A243,DAY_8[],8,0)</f>
        <v>1</v>
      </c>
      <c r="I243" s="5">
        <f>VLOOKUP(A243,DAY_8[],10,0)</f>
        <v>100</v>
      </c>
      <c r="J243" s="5">
        <f>VLOOKUP(A243,DAY_8[],11,0)</f>
        <v>4.7</v>
      </c>
    </row>
    <row r="244" spans="1:10" x14ac:dyDescent="0.25">
      <c r="A244" s="2" t="s">
        <v>513</v>
      </c>
      <c r="B244" s="2" t="str">
        <f>VLOOKUP(A244,DAY_8[],2,0)</f>
        <v>FL250243</v>
      </c>
      <c r="C244" t="str">
        <f>VLOOKUP(A244,DAY_8[],3,0)</f>
        <v>FEMALE</v>
      </c>
      <c r="D244">
        <f>VLOOKUP(A244,DAY_8[],4,0)</f>
        <v>21</v>
      </c>
      <c r="E244" t="str">
        <f>VLOOKUP(A244,DAY_8[],5,0)</f>
        <v>SOUTH AFRICA</v>
      </c>
      <c r="F244" s="5" t="str">
        <f>VLOOKUP(A244,DAY_8[],6,0)</f>
        <v>AFRIKAANS</v>
      </c>
      <c r="G244" s="5" t="str">
        <f>VLOOKUP(A244,DAY_8[],7,0)</f>
        <v>MACHINE LEARNING</v>
      </c>
      <c r="H244" s="5">
        <f>VLOOKUP(A244,DAY_8[],8,0)</f>
        <v>2</v>
      </c>
      <c r="I244" s="5">
        <f>VLOOKUP(A244,DAY_8[],10,0)</f>
        <v>20</v>
      </c>
      <c r="J244" s="5">
        <f>VLOOKUP(A244,DAY_8[],11,0)</f>
        <v>2.4</v>
      </c>
    </row>
    <row r="245" spans="1:10" x14ac:dyDescent="0.25">
      <c r="A245" s="2" t="s">
        <v>515</v>
      </c>
      <c r="B245" s="2" t="str">
        <f>VLOOKUP(A245,DAY_8[],2,0)</f>
        <v>FL250244</v>
      </c>
      <c r="C245" t="str">
        <f>VLOOKUP(A245,DAY_8[],3,0)</f>
        <v>MALE</v>
      </c>
      <c r="D245">
        <f>VLOOKUP(A245,DAY_8[],4,0)</f>
        <v>20</v>
      </c>
      <c r="E245" t="str">
        <f>VLOOKUP(A245,DAY_8[],5,0)</f>
        <v>MEXICO</v>
      </c>
      <c r="F245" s="5" t="str">
        <f>VLOOKUP(A245,DAY_8[],6,0)</f>
        <v>SPANISH</v>
      </c>
      <c r="G245" s="5" t="str">
        <f>VLOOKUP(A245,DAY_8[],7,0)</f>
        <v>GRAPHIC DESIGN</v>
      </c>
      <c r="H245" s="5">
        <f>VLOOKUP(A245,DAY_8[],8,0)</f>
        <v>2</v>
      </c>
      <c r="I245" s="5">
        <f>VLOOKUP(A245,DAY_8[],10,0)</f>
        <v>70</v>
      </c>
      <c r="J245" s="5">
        <f>VLOOKUP(A245,DAY_8[],11,0)</f>
        <v>1.1000000000000001</v>
      </c>
    </row>
    <row r="246" spans="1:10" x14ac:dyDescent="0.25">
      <c r="A246" s="2" t="s">
        <v>517</v>
      </c>
      <c r="B246" s="2" t="str">
        <f>VLOOKUP(A246,DAY_8[],2,0)</f>
        <v>FL250245</v>
      </c>
      <c r="C246" t="str">
        <f>VLOOKUP(A246,DAY_8[],3,0)</f>
        <v>FEMALE</v>
      </c>
      <c r="D246">
        <f>VLOOKUP(A246,DAY_8[],4,0)</f>
        <v>35</v>
      </c>
      <c r="E246" t="str">
        <f>VLOOKUP(A246,DAY_8[],5,0)</f>
        <v>US</v>
      </c>
      <c r="F246" s="5" t="str">
        <f>VLOOKUP(A246,DAY_8[],6,0)</f>
        <v>ENGLISH</v>
      </c>
      <c r="G246" s="5" t="str">
        <f>VLOOKUP(A246,DAY_8[],7,0)</f>
        <v>MOBILE APPS</v>
      </c>
      <c r="H246" s="5">
        <f>VLOOKUP(A246,DAY_8[],8,0)</f>
        <v>10</v>
      </c>
      <c r="I246" s="5">
        <f>VLOOKUP(A246,DAY_8[],10,0)</f>
        <v>50</v>
      </c>
      <c r="J246" s="5">
        <f>VLOOKUP(A246,DAY_8[],11,0)</f>
        <v>1.4</v>
      </c>
    </row>
    <row r="247" spans="1:10" x14ac:dyDescent="0.25">
      <c r="A247" s="2" t="s">
        <v>519</v>
      </c>
      <c r="B247" s="2" t="str">
        <f>VLOOKUP(A247,DAY_8[],2,0)</f>
        <v>FL250246</v>
      </c>
      <c r="C247" t="str">
        <f>VLOOKUP(A247,DAY_8[],3,0)</f>
        <v>FEMALE</v>
      </c>
      <c r="D247">
        <f>VLOOKUP(A247,DAY_8[],4,0)</f>
        <v>47</v>
      </c>
      <c r="E247" t="str">
        <f>VLOOKUP(A247,DAY_8[],5,0)</f>
        <v>US</v>
      </c>
      <c r="F247" s="5" t="str">
        <f>VLOOKUP(A247,DAY_8[],6,0)</f>
        <v>ENGLISH</v>
      </c>
      <c r="G247" s="5" t="str">
        <f>VLOOKUP(A247,DAY_8[],7,0)</f>
        <v>UI/UX DESIGN</v>
      </c>
      <c r="H247" s="5">
        <f>VLOOKUP(A247,DAY_8[],8,0)</f>
        <v>18</v>
      </c>
      <c r="I247" s="5">
        <f>VLOOKUP(A247,DAY_8[],10,0)</f>
        <v>40</v>
      </c>
      <c r="J247" s="5">
        <f>VLOOKUP(A247,DAY_8[],11,0)</f>
        <v>3.4</v>
      </c>
    </row>
    <row r="248" spans="1:10" x14ac:dyDescent="0.25">
      <c r="A248" s="2" t="s">
        <v>521</v>
      </c>
      <c r="B248" s="2" t="str">
        <f>VLOOKUP(A248,DAY_8[],2,0)</f>
        <v>FL250247</v>
      </c>
      <c r="C248" t="str">
        <f>VLOOKUP(A248,DAY_8[],3,0)</f>
        <v>FEMALE</v>
      </c>
      <c r="D248">
        <f>VLOOKUP(A248,DAY_8[],4,0)</f>
        <v>41</v>
      </c>
      <c r="E248" t="str">
        <f>VLOOKUP(A248,DAY_8[],5,0)</f>
        <v>TURKEY</v>
      </c>
      <c r="F248" s="5" t="str">
        <f>VLOOKUP(A248,DAY_8[],6,0)</f>
        <v>TURKISH</v>
      </c>
      <c r="G248" s="5" t="str">
        <f>VLOOKUP(A248,DAY_8[],7,0)</f>
        <v>BLOCKCHAIN DEVELOPMENT</v>
      </c>
      <c r="H248" s="5">
        <f>VLOOKUP(A248,DAY_8[],8,0)</f>
        <v>4</v>
      </c>
      <c r="I248" s="5">
        <f>VLOOKUP(A248,DAY_8[],10,0)</f>
        <v>40</v>
      </c>
      <c r="J248" s="5">
        <f>VLOOKUP(A248,DAY_8[],11,0)</f>
        <v>2.7</v>
      </c>
    </row>
    <row r="249" spans="1:10" x14ac:dyDescent="0.25">
      <c r="A249" s="2" t="s">
        <v>523</v>
      </c>
      <c r="B249" s="2" t="str">
        <f>VLOOKUP(A249,DAY_8[],2,0)</f>
        <v>FL250248</v>
      </c>
      <c r="C249" t="str">
        <f>VLOOKUP(A249,DAY_8[],3,0)</f>
        <v>MALE</v>
      </c>
      <c r="D249">
        <f>VLOOKUP(A249,DAY_8[],4,0)</f>
        <v>58</v>
      </c>
      <c r="E249" t="str">
        <f>VLOOKUP(A249,DAY_8[],5,0)</f>
        <v>ARGENTINA</v>
      </c>
      <c r="F249" s="5" t="str">
        <f>VLOOKUP(A249,DAY_8[],6,0)</f>
        <v>SPANISH</v>
      </c>
      <c r="G249" s="5" t="str">
        <f>VLOOKUP(A249,DAY_8[],7,0)</f>
        <v>WEB DEVELOPMENT</v>
      </c>
      <c r="H249" s="5">
        <f>VLOOKUP(A249,DAY_8[],8,0)</f>
        <v>23</v>
      </c>
      <c r="I249" s="5">
        <f>VLOOKUP(A249,DAY_8[],10,0)</f>
        <v>70</v>
      </c>
      <c r="J249" s="5">
        <f>VLOOKUP(A249,DAY_8[],11,0)</f>
        <v>4.9000000000000004</v>
      </c>
    </row>
    <row r="250" spans="1:10" x14ac:dyDescent="0.25">
      <c r="A250" s="2" t="s">
        <v>525</v>
      </c>
      <c r="B250" s="2" t="str">
        <f>VLOOKUP(A250,DAY_8[],2,0)</f>
        <v>FL250249</v>
      </c>
      <c r="C250" t="str">
        <f>VLOOKUP(A250,DAY_8[],3,0)</f>
        <v>MALE</v>
      </c>
      <c r="D250">
        <f>VLOOKUP(A250,DAY_8[],4,0)</f>
        <v>34</v>
      </c>
      <c r="E250" t="str">
        <f>VLOOKUP(A250,DAY_8[],5,0)</f>
        <v>CHINA</v>
      </c>
      <c r="F250" s="5" t="str">
        <f>VLOOKUP(A250,DAY_8[],6,0)</f>
        <v>MANDARIN</v>
      </c>
      <c r="G250" s="5" t="str">
        <f>VLOOKUP(A250,DAY_8[],7,0)</f>
        <v>DATA ANALYSIS</v>
      </c>
      <c r="H250" s="5">
        <f>VLOOKUP(A250,DAY_8[],8,0)</f>
        <v>6</v>
      </c>
      <c r="I250" s="5">
        <f>VLOOKUP(A250,DAY_8[],10,0)</f>
        <v>75</v>
      </c>
      <c r="J250" s="5">
        <f>VLOOKUP(A250,DAY_8[],11,0)</f>
        <v>1.9</v>
      </c>
    </row>
    <row r="251" spans="1:10" x14ac:dyDescent="0.25">
      <c r="A251" s="2" t="s">
        <v>527</v>
      </c>
      <c r="B251" s="2" t="str">
        <f>VLOOKUP(A251,DAY_8[],2,0)</f>
        <v>FL250250</v>
      </c>
      <c r="C251" t="str">
        <f>VLOOKUP(A251,DAY_8[],3,0)</f>
        <v>FEMALE</v>
      </c>
      <c r="D251">
        <f>VLOOKUP(A251,DAY_8[],4,0)</f>
        <v>50</v>
      </c>
      <c r="E251" t="str">
        <f>VLOOKUP(A251,DAY_8[],5,0)</f>
        <v>INDIA</v>
      </c>
      <c r="F251" s="5" t="str">
        <f>VLOOKUP(A251,DAY_8[],6,0)</f>
        <v>HINDI</v>
      </c>
      <c r="G251" s="5" t="str">
        <f>VLOOKUP(A251,DAY_8[],7,0)</f>
        <v>MOBILE APPS</v>
      </c>
      <c r="H251" s="5">
        <f>VLOOKUP(A251,DAY_8[],8,0)</f>
        <v>5</v>
      </c>
      <c r="I251" s="5">
        <f>VLOOKUP(A251,DAY_8[],10,0)</f>
        <v>100</v>
      </c>
      <c r="J251" s="5">
        <f>VLOOKUP(A251,DAY_8[],11,0)</f>
        <v>2.4</v>
      </c>
    </row>
    <row r="252" spans="1:10" x14ac:dyDescent="0.25">
      <c r="A252" s="2" t="s">
        <v>529</v>
      </c>
      <c r="B252" s="2" t="str">
        <f>VLOOKUP(A252,DAY_8[],2,0)</f>
        <v>FL250251</v>
      </c>
      <c r="C252" t="str">
        <f>VLOOKUP(A252,DAY_8[],3,0)</f>
        <v>FEMALE</v>
      </c>
      <c r="D252">
        <f>VLOOKUP(A252,DAY_8[],4,0)</f>
        <v>42</v>
      </c>
      <c r="E252" t="str">
        <f>VLOOKUP(A252,DAY_8[],5,0)</f>
        <v>MEXICO</v>
      </c>
      <c r="F252" s="5" t="str">
        <f>VLOOKUP(A252,DAY_8[],6,0)</f>
        <v>SPANISH</v>
      </c>
      <c r="G252" s="5" t="str">
        <f>VLOOKUP(A252,DAY_8[],7,0)</f>
        <v>DEVOPS</v>
      </c>
      <c r="H252" s="5">
        <f>VLOOKUP(A252,DAY_8[],8,0)</f>
        <v>19</v>
      </c>
      <c r="I252" s="5">
        <f>VLOOKUP(A252,DAY_8[],10,0)</f>
        <v>75</v>
      </c>
      <c r="J252" s="5">
        <f>VLOOKUP(A252,DAY_8[],11,0)</f>
        <v>4.5999999999999996</v>
      </c>
    </row>
    <row r="253" spans="1:10" x14ac:dyDescent="0.25">
      <c r="A253" s="2" t="s">
        <v>531</v>
      </c>
      <c r="B253" s="2" t="str">
        <f>VLOOKUP(A253,DAY_8[],2,0)</f>
        <v>FL250252</v>
      </c>
      <c r="C253" t="str">
        <f>VLOOKUP(A253,DAY_8[],3,0)</f>
        <v>MALE</v>
      </c>
      <c r="D253">
        <f>VLOOKUP(A253,DAY_8[],4,0)</f>
        <v>43</v>
      </c>
      <c r="E253" t="str">
        <f>VLOOKUP(A253,DAY_8[],5,0)</f>
        <v>GERMANY</v>
      </c>
      <c r="F253" s="5" t="str">
        <f>VLOOKUP(A253,DAY_8[],6,0)</f>
        <v>GERMANY</v>
      </c>
      <c r="G253" s="5" t="str">
        <f>VLOOKUP(A253,DAY_8[],7,0)</f>
        <v>UI/UX DESIGN</v>
      </c>
      <c r="H253" s="5">
        <f>VLOOKUP(A253,DAY_8[],8,0)</f>
        <v>6</v>
      </c>
      <c r="I253" s="5">
        <f>VLOOKUP(A253,DAY_8[],10,0)</f>
        <v>50</v>
      </c>
      <c r="J253" s="5">
        <f>VLOOKUP(A253,DAY_8[],11,0)</f>
        <v>0</v>
      </c>
    </row>
    <row r="254" spans="1:10" x14ac:dyDescent="0.25">
      <c r="A254" s="2" t="s">
        <v>533</v>
      </c>
      <c r="B254" s="2" t="str">
        <f>VLOOKUP(A254,DAY_8[],2,0)</f>
        <v>FL250253</v>
      </c>
      <c r="C254" t="str">
        <f>VLOOKUP(A254,DAY_8[],3,0)</f>
        <v>MALE</v>
      </c>
      <c r="D254">
        <f>VLOOKUP(A254,DAY_8[],4,0)</f>
        <v>34</v>
      </c>
      <c r="E254" t="str">
        <f>VLOOKUP(A254,DAY_8[],5,0)</f>
        <v>GERMANY</v>
      </c>
      <c r="F254" s="5" t="str">
        <f>VLOOKUP(A254,DAY_8[],6,0)</f>
        <v>GERMANY</v>
      </c>
      <c r="G254" s="5" t="str">
        <f>VLOOKUP(A254,DAY_8[],7,0)</f>
        <v>DATA ANALYSIS</v>
      </c>
      <c r="H254" s="5">
        <f>VLOOKUP(A254,DAY_8[],8,0)</f>
        <v>8</v>
      </c>
      <c r="I254" s="5">
        <f>VLOOKUP(A254,DAY_8[],10,0)</f>
        <v>75</v>
      </c>
      <c r="J254" s="5">
        <f>VLOOKUP(A254,DAY_8[],11,0)</f>
        <v>1.8</v>
      </c>
    </row>
    <row r="255" spans="1:10" x14ac:dyDescent="0.25">
      <c r="A255" s="2" t="s">
        <v>535</v>
      </c>
      <c r="B255" s="2" t="str">
        <f>VLOOKUP(A255,DAY_8[],2,0)</f>
        <v>FL250254</v>
      </c>
      <c r="C255" t="str">
        <f>VLOOKUP(A255,DAY_8[],3,0)</f>
        <v>MALE</v>
      </c>
      <c r="D255">
        <f>VLOOKUP(A255,DAY_8[],4,0)</f>
        <v>24</v>
      </c>
      <c r="E255" t="str">
        <f>VLOOKUP(A255,DAY_8[],5,0)</f>
        <v>SPAIN</v>
      </c>
      <c r="F255" s="5" t="str">
        <f>VLOOKUP(A255,DAY_8[],6,0)</f>
        <v>SPANISH</v>
      </c>
      <c r="G255" s="5" t="str">
        <f>VLOOKUP(A255,DAY_8[],7,0)</f>
        <v>MOBILE APPS</v>
      </c>
      <c r="H255" s="5">
        <f>VLOOKUP(A255,DAY_8[],8,0)</f>
        <v>3</v>
      </c>
      <c r="I255" s="5">
        <f>VLOOKUP(A255,DAY_8[],10,0)</f>
        <v>75</v>
      </c>
      <c r="J255" s="5">
        <f>VLOOKUP(A255,DAY_8[],11,0)</f>
        <v>2</v>
      </c>
    </row>
    <row r="256" spans="1:10" x14ac:dyDescent="0.25">
      <c r="A256" s="2" t="s">
        <v>537</v>
      </c>
      <c r="B256" s="2" t="str">
        <f>VLOOKUP(A256,DAY_8[],2,0)</f>
        <v>FL250255</v>
      </c>
      <c r="C256" t="str">
        <f>VLOOKUP(A256,DAY_8[],3,0)</f>
        <v>MALE</v>
      </c>
      <c r="D256">
        <f>VLOOKUP(A256,DAY_8[],4,0)</f>
        <v>48</v>
      </c>
      <c r="E256" t="str">
        <f>VLOOKUP(A256,DAY_8[],5,0)</f>
        <v>SOUTH AFRICA</v>
      </c>
      <c r="F256" s="5" t="str">
        <f>VLOOKUP(A256,DAY_8[],6,0)</f>
        <v>AFRIKAANS</v>
      </c>
      <c r="G256" s="5" t="str">
        <f>VLOOKUP(A256,DAY_8[],7,0)</f>
        <v>UI/UX DESIGN</v>
      </c>
      <c r="H256" s="5">
        <f>VLOOKUP(A256,DAY_8[],8,0)</f>
        <v>8</v>
      </c>
      <c r="I256" s="5">
        <f>VLOOKUP(A256,DAY_8[],10,0)</f>
        <v>30</v>
      </c>
      <c r="J256" s="5">
        <f>VLOOKUP(A256,DAY_8[],11,0)</f>
        <v>5</v>
      </c>
    </row>
    <row r="257" spans="1:10" x14ac:dyDescent="0.25">
      <c r="A257" s="2" t="s">
        <v>539</v>
      </c>
      <c r="B257" s="2" t="str">
        <f>VLOOKUP(A257,DAY_8[],2,0)</f>
        <v>FL250256</v>
      </c>
      <c r="C257" t="str">
        <f>VLOOKUP(A257,DAY_8[],3,0)</f>
        <v>FEMALE</v>
      </c>
      <c r="D257">
        <f>VLOOKUP(A257,DAY_8[],4,0)</f>
        <v>39</v>
      </c>
      <c r="E257" t="str">
        <f>VLOOKUP(A257,DAY_8[],5,0)</f>
        <v>SOUTH KOREA</v>
      </c>
      <c r="F257" s="5" t="str">
        <f>VLOOKUP(A257,DAY_8[],6,0)</f>
        <v>KOREAN</v>
      </c>
      <c r="G257" s="5" t="str">
        <f>VLOOKUP(A257,DAY_8[],7,0)</f>
        <v>DATA ANALYSIS</v>
      </c>
      <c r="H257" s="5">
        <f>VLOOKUP(A257,DAY_8[],8,0)</f>
        <v>12</v>
      </c>
      <c r="I257" s="5">
        <f>VLOOKUP(A257,DAY_8[],10,0)</f>
        <v>20</v>
      </c>
      <c r="J257" s="5">
        <f>VLOOKUP(A257,DAY_8[],11,0)</f>
        <v>3.2</v>
      </c>
    </row>
    <row r="258" spans="1:10" x14ac:dyDescent="0.25">
      <c r="A258" s="2" t="s">
        <v>541</v>
      </c>
      <c r="B258" s="2" t="str">
        <f>VLOOKUP(A258,DAY_8[],2,0)</f>
        <v>FL250257</v>
      </c>
      <c r="C258" t="str">
        <f>VLOOKUP(A258,DAY_8[],3,0)</f>
        <v>FEMALE</v>
      </c>
      <c r="D258">
        <f>VLOOKUP(A258,DAY_8[],4,0)</f>
        <v>57</v>
      </c>
      <c r="E258" t="str">
        <f>VLOOKUP(A258,DAY_8[],5,0)</f>
        <v>AUSTRALIA</v>
      </c>
      <c r="F258" s="5" t="str">
        <f>VLOOKUP(A258,DAY_8[],6,0)</f>
        <v>ENGLISH</v>
      </c>
      <c r="G258" s="5" t="str">
        <f>VLOOKUP(A258,DAY_8[],7,0)</f>
        <v>BLOCKCHAIN DEVELOPMENT</v>
      </c>
      <c r="H258" s="5">
        <f>VLOOKUP(A258,DAY_8[],8,0)</f>
        <v>30</v>
      </c>
      <c r="I258" s="5">
        <f>VLOOKUP(A258,DAY_8[],10,0)</f>
        <v>30</v>
      </c>
      <c r="J258" s="5">
        <f>VLOOKUP(A258,DAY_8[],11,0)</f>
        <v>2.4</v>
      </c>
    </row>
    <row r="259" spans="1:10" x14ac:dyDescent="0.25">
      <c r="A259" s="2" t="s">
        <v>543</v>
      </c>
      <c r="B259" s="2" t="str">
        <f>VLOOKUP(A259,DAY_8[],2,0)</f>
        <v>FL250258</v>
      </c>
      <c r="C259" t="str">
        <f>VLOOKUP(A259,DAY_8[],3,0)</f>
        <v>FEMALE</v>
      </c>
      <c r="D259">
        <f>VLOOKUP(A259,DAY_8[],4,0)</f>
        <v>44</v>
      </c>
      <c r="E259" t="str">
        <f>VLOOKUP(A259,DAY_8[],5,0)</f>
        <v>CANADA</v>
      </c>
      <c r="F259" s="5" t="str">
        <f>VLOOKUP(A259,DAY_8[],6,0)</f>
        <v>ENGLISH</v>
      </c>
      <c r="G259" s="5" t="str">
        <f>VLOOKUP(A259,DAY_8[],7,0)</f>
        <v>WEB DEVELOPMENT</v>
      </c>
      <c r="H259" s="5">
        <f>VLOOKUP(A259,DAY_8[],8,0)</f>
        <v>21</v>
      </c>
      <c r="I259" s="5">
        <f>VLOOKUP(A259,DAY_8[],10,0)</f>
        <v>100</v>
      </c>
      <c r="J259" s="5">
        <f>VLOOKUP(A259,DAY_8[],11,0)</f>
        <v>2.9</v>
      </c>
    </row>
    <row r="260" spans="1:10" x14ac:dyDescent="0.25">
      <c r="A260" s="2" t="s">
        <v>545</v>
      </c>
      <c r="B260" s="2" t="str">
        <f>VLOOKUP(A260,DAY_8[],2,0)</f>
        <v>FL250259</v>
      </c>
      <c r="C260" t="str">
        <f>VLOOKUP(A260,DAY_8[],3,0)</f>
        <v>MALE</v>
      </c>
      <c r="D260">
        <f>VLOOKUP(A260,DAY_8[],4,0)</f>
        <v>37</v>
      </c>
      <c r="E260" t="str">
        <f>VLOOKUP(A260,DAY_8[],5,0)</f>
        <v>BRAZIL</v>
      </c>
      <c r="F260" s="5" t="str">
        <f>VLOOKUP(A260,DAY_8[],6,0)</f>
        <v>PORTUGUESE</v>
      </c>
      <c r="G260" s="5" t="str">
        <f>VLOOKUP(A260,DAY_8[],7,0)</f>
        <v>UI/UX DESIGN</v>
      </c>
      <c r="H260" s="5">
        <f>VLOOKUP(A260,DAY_8[],8,0)</f>
        <v>17</v>
      </c>
      <c r="I260" s="5">
        <f>VLOOKUP(A260,DAY_8[],10,0)</f>
        <v>20</v>
      </c>
      <c r="J260" s="5">
        <f>VLOOKUP(A260,DAY_8[],11,0)</f>
        <v>0</v>
      </c>
    </row>
    <row r="261" spans="1:10" x14ac:dyDescent="0.25">
      <c r="A261" s="2" t="s">
        <v>547</v>
      </c>
      <c r="B261" s="2" t="str">
        <f>VLOOKUP(A261,DAY_8[],2,0)</f>
        <v>FL250260</v>
      </c>
      <c r="C261" t="str">
        <f>VLOOKUP(A261,DAY_8[],3,0)</f>
        <v>MALE</v>
      </c>
      <c r="D261">
        <f>VLOOKUP(A261,DAY_8[],4,0)</f>
        <v>50</v>
      </c>
      <c r="E261" t="str">
        <f>VLOOKUP(A261,DAY_8[],5,0)</f>
        <v>TURKEY</v>
      </c>
      <c r="F261" s="5" t="str">
        <f>VLOOKUP(A261,DAY_8[],6,0)</f>
        <v>TURKISH</v>
      </c>
      <c r="G261" s="5" t="str">
        <f>VLOOKUP(A261,DAY_8[],7,0)</f>
        <v>DATA ANALYSIS</v>
      </c>
      <c r="H261" s="5">
        <f>VLOOKUP(A261,DAY_8[],8,0)</f>
        <v>9</v>
      </c>
      <c r="I261" s="5">
        <f>VLOOKUP(A261,DAY_8[],10,0)</f>
        <v>30</v>
      </c>
      <c r="J261" s="5">
        <f>VLOOKUP(A261,DAY_8[],11,0)</f>
        <v>3</v>
      </c>
    </row>
    <row r="262" spans="1:10" x14ac:dyDescent="0.25">
      <c r="A262" s="2" t="s">
        <v>549</v>
      </c>
      <c r="B262" s="2" t="str">
        <f>VLOOKUP(A262,DAY_8[],2,0)</f>
        <v>FL250261</v>
      </c>
      <c r="C262" t="str">
        <f>VLOOKUP(A262,DAY_8[],3,0)</f>
        <v>MALE</v>
      </c>
      <c r="D262">
        <f>VLOOKUP(A262,DAY_8[],4,0)</f>
        <v>50</v>
      </c>
      <c r="E262" t="str">
        <f>VLOOKUP(A262,DAY_8[],5,0)</f>
        <v>SPAIN</v>
      </c>
      <c r="F262" s="5" t="str">
        <f>VLOOKUP(A262,DAY_8[],6,0)</f>
        <v>SPANISH</v>
      </c>
      <c r="G262" s="5" t="str">
        <f>VLOOKUP(A262,DAY_8[],7,0)</f>
        <v>UI/UX DESIGN</v>
      </c>
      <c r="H262" s="5">
        <f>VLOOKUP(A262,DAY_8[],8,0)</f>
        <v>2</v>
      </c>
      <c r="I262" s="5">
        <f>VLOOKUP(A262,DAY_8[],10,0)</f>
        <v>50</v>
      </c>
      <c r="J262" s="5">
        <f>VLOOKUP(A262,DAY_8[],11,0)</f>
        <v>1.6</v>
      </c>
    </row>
    <row r="263" spans="1:10" x14ac:dyDescent="0.25">
      <c r="A263" s="2" t="s">
        <v>551</v>
      </c>
      <c r="B263" s="2" t="str">
        <f>VLOOKUP(A263,DAY_8[],2,0)</f>
        <v>FL250262</v>
      </c>
      <c r="C263" t="str">
        <f>VLOOKUP(A263,DAY_8[],3,0)</f>
        <v>FEMALE</v>
      </c>
      <c r="D263">
        <f>VLOOKUP(A263,DAY_8[],4,0)</f>
        <v>28</v>
      </c>
      <c r="E263" t="str">
        <f>VLOOKUP(A263,DAY_8[],5,0)</f>
        <v>FRANCE</v>
      </c>
      <c r="F263" s="5" t="str">
        <f>VLOOKUP(A263,DAY_8[],6,0)</f>
        <v>FRENCH</v>
      </c>
      <c r="G263" s="5" t="str">
        <f>VLOOKUP(A263,DAY_8[],7,0)</f>
        <v>GRAPHIC DESIGN</v>
      </c>
      <c r="H263" s="5">
        <f>VLOOKUP(A263,DAY_8[],8,0)</f>
        <v>1</v>
      </c>
      <c r="I263" s="5">
        <f>VLOOKUP(A263,DAY_8[],10,0)</f>
        <v>20</v>
      </c>
      <c r="J263" s="5">
        <f>VLOOKUP(A263,DAY_8[],11,0)</f>
        <v>3.6</v>
      </c>
    </row>
    <row r="264" spans="1:10" x14ac:dyDescent="0.25">
      <c r="A264" s="2" t="s">
        <v>553</v>
      </c>
      <c r="B264" s="2" t="str">
        <f>VLOOKUP(A264,DAY_8[],2,0)</f>
        <v>FL250263</v>
      </c>
      <c r="C264" t="str">
        <f>VLOOKUP(A264,DAY_8[],3,0)</f>
        <v>MALE</v>
      </c>
      <c r="D264">
        <f>VLOOKUP(A264,DAY_8[],4,0)</f>
        <v>48</v>
      </c>
      <c r="E264" t="str">
        <f>VLOOKUP(A264,DAY_8[],5,0)</f>
        <v>ITALY</v>
      </c>
      <c r="F264" s="5" t="str">
        <f>VLOOKUP(A264,DAY_8[],6,0)</f>
        <v>ITALIAN</v>
      </c>
      <c r="G264" s="5" t="str">
        <f>VLOOKUP(A264,DAY_8[],7,0)</f>
        <v>WEB DEVELOPMENT</v>
      </c>
      <c r="H264" s="5">
        <f>VLOOKUP(A264,DAY_8[],8,0)</f>
        <v>23</v>
      </c>
      <c r="I264" s="5">
        <f>VLOOKUP(A264,DAY_8[],10,0)</f>
        <v>70</v>
      </c>
      <c r="J264" s="5">
        <f>VLOOKUP(A264,DAY_8[],11,0)</f>
        <v>2.1</v>
      </c>
    </row>
    <row r="265" spans="1:10" x14ac:dyDescent="0.25">
      <c r="A265" s="2" t="s">
        <v>555</v>
      </c>
      <c r="B265" s="2" t="str">
        <f>VLOOKUP(A265,DAY_8[],2,0)</f>
        <v>FL250264</v>
      </c>
      <c r="C265" t="str">
        <f>VLOOKUP(A265,DAY_8[],3,0)</f>
        <v>MALE</v>
      </c>
      <c r="D265">
        <f>VLOOKUP(A265,DAY_8[],4,0)</f>
        <v>42</v>
      </c>
      <c r="E265" t="str">
        <f>VLOOKUP(A265,DAY_8[],5,0)</f>
        <v>GERMANY</v>
      </c>
      <c r="F265" s="5" t="str">
        <f>VLOOKUP(A265,DAY_8[],6,0)</f>
        <v>GERMANY</v>
      </c>
      <c r="G265" s="5" t="str">
        <f>VLOOKUP(A265,DAY_8[],7,0)</f>
        <v>DEVOPS</v>
      </c>
      <c r="H265" s="5">
        <f>VLOOKUP(A265,DAY_8[],8,0)</f>
        <v>8</v>
      </c>
      <c r="I265" s="5">
        <f>VLOOKUP(A265,DAY_8[],10,0)</f>
        <v>30</v>
      </c>
      <c r="J265" s="5">
        <f>VLOOKUP(A265,DAY_8[],11,0)</f>
        <v>3.6</v>
      </c>
    </row>
    <row r="266" spans="1:10" x14ac:dyDescent="0.25">
      <c r="A266" s="2" t="s">
        <v>557</v>
      </c>
      <c r="B266" s="2" t="str">
        <f>VLOOKUP(A266,DAY_8[],2,0)</f>
        <v>FL250265</v>
      </c>
      <c r="C266" t="str">
        <f>VLOOKUP(A266,DAY_8[],3,0)</f>
        <v>FEMALE</v>
      </c>
      <c r="D266">
        <f>VLOOKUP(A266,DAY_8[],4,0)</f>
        <v>37</v>
      </c>
      <c r="E266" t="str">
        <f>VLOOKUP(A266,DAY_8[],5,0)</f>
        <v>CANADA</v>
      </c>
      <c r="F266" s="5" t="str">
        <f>VLOOKUP(A266,DAY_8[],6,0)</f>
        <v>ENGLISH</v>
      </c>
      <c r="G266" s="5" t="str">
        <f>VLOOKUP(A266,DAY_8[],7,0)</f>
        <v>DATA ANALYSIS</v>
      </c>
      <c r="H266" s="5">
        <f>VLOOKUP(A266,DAY_8[],8,0)</f>
        <v>6</v>
      </c>
      <c r="I266" s="5">
        <f>VLOOKUP(A266,DAY_8[],10,0)</f>
        <v>20</v>
      </c>
      <c r="J266" s="5">
        <f>VLOOKUP(A266,DAY_8[],11,0)</f>
        <v>2.7</v>
      </c>
    </row>
    <row r="267" spans="1:10" x14ac:dyDescent="0.25">
      <c r="A267" s="2" t="s">
        <v>559</v>
      </c>
      <c r="B267" s="2" t="str">
        <f>VLOOKUP(A267,DAY_8[],2,0)</f>
        <v>FL250266</v>
      </c>
      <c r="C267" t="str">
        <f>VLOOKUP(A267,DAY_8[],3,0)</f>
        <v>MALE</v>
      </c>
      <c r="D267">
        <f>VLOOKUP(A267,DAY_8[],4,0)</f>
        <v>21</v>
      </c>
      <c r="E267" t="str">
        <f>VLOOKUP(A267,DAY_8[],5,0)</f>
        <v>INDIA</v>
      </c>
      <c r="F267" s="5" t="str">
        <f>VLOOKUP(A267,DAY_8[],6,0)</f>
        <v>HINDI</v>
      </c>
      <c r="G267" s="5" t="str">
        <f>VLOOKUP(A267,DAY_8[],7,0)</f>
        <v>BLOCKCHAIN DEVELOPMENT</v>
      </c>
      <c r="H267" s="5">
        <f>VLOOKUP(A267,DAY_8[],8,0)</f>
        <v>1</v>
      </c>
      <c r="I267" s="5">
        <f>VLOOKUP(A267,DAY_8[],10,0)</f>
        <v>100</v>
      </c>
      <c r="J267" s="5">
        <f>VLOOKUP(A267,DAY_8[],11,0)</f>
        <v>2.1</v>
      </c>
    </row>
    <row r="268" spans="1:10" x14ac:dyDescent="0.25">
      <c r="A268" s="2" t="s">
        <v>561</v>
      </c>
      <c r="B268" s="2" t="str">
        <f>VLOOKUP(A268,DAY_8[],2,0)</f>
        <v>FL250267</v>
      </c>
      <c r="C268" t="str">
        <f>VLOOKUP(A268,DAY_8[],3,0)</f>
        <v>MALE</v>
      </c>
      <c r="D268">
        <f>VLOOKUP(A268,DAY_8[],4,0)</f>
        <v>50</v>
      </c>
      <c r="E268" t="str">
        <f>VLOOKUP(A268,DAY_8[],5,0)</f>
        <v>SOUTH KOREA</v>
      </c>
      <c r="F268" s="5" t="str">
        <f>VLOOKUP(A268,DAY_8[],6,0)</f>
        <v>KOREAN</v>
      </c>
      <c r="G268" s="5" t="str">
        <f>VLOOKUP(A268,DAY_8[],7,0)</f>
        <v>WEB DEVELOPMENT</v>
      </c>
      <c r="H268" s="5">
        <f>VLOOKUP(A268,DAY_8[],8,0)</f>
        <v>19</v>
      </c>
      <c r="I268" s="5">
        <f>VLOOKUP(A268,DAY_8[],10,0)</f>
        <v>40</v>
      </c>
      <c r="J268" s="5">
        <f>VLOOKUP(A268,DAY_8[],11,0)</f>
        <v>4.9000000000000004</v>
      </c>
    </row>
    <row r="269" spans="1:10" x14ac:dyDescent="0.25">
      <c r="A269" s="2" t="s">
        <v>563</v>
      </c>
      <c r="B269" s="2" t="str">
        <f>VLOOKUP(A269,DAY_8[],2,0)</f>
        <v>FL250268</v>
      </c>
      <c r="C269" t="str">
        <f>VLOOKUP(A269,DAY_8[],3,0)</f>
        <v>FEMALE</v>
      </c>
      <c r="D269">
        <f>VLOOKUP(A269,DAY_8[],4,0)</f>
        <v>22</v>
      </c>
      <c r="E269" t="str">
        <f>VLOOKUP(A269,DAY_8[],5,0)</f>
        <v>ARGENTINA</v>
      </c>
      <c r="F269" s="5" t="str">
        <f>VLOOKUP(A269,DAY_8[],6,0)</f>
        <v>SPANISH</v>
      </c>
      <c r="G269" s="5" t="str">
        <f>VLOOKUP(A269,DAY_8[],7,0)</f>
        <v>AI</v>
      </c>
      <c r="H269" s="5">
        <f>VLOOKUP(A269,DAY_8[],8,0)</f>
        <v>2</v>
      </c>
      <c r="I269" s="5">
        <f>VLOOKUP(A269,DAY_8[],10,0)</f>
        <v>30</v>
      </c>
      <c r="J269" s="5">
        <f>VLOOKUP(A269,DAY_8[],11,0)</f>
        <v>2.1</v>
      </c>
    </row>
    <row r="270" spans="1:10" x14ac:dyDescent="0.25">
      <c r="A270" s="2" t="s">
        <v>565</v>
      </c>
      <c r="B270" s="2" t="str">
        <f>VLOOKUP(A270,DAY_8[],2,0)</f>
        <v>FL250269</v>
      </c>
      <c r="C270" t="str">
        <f>VLOOKUP(A270,DAY_8[],3,0)</f>
        <v>FEMALE</v>
      </c>
      <c r="D270">
        <f>VLOOKUP(A270,DAY_8[],4,0)</f>
        <v>39</v>
      </c>
      <c r="E270" t="str">
        <f>VLOOKUP(A270,DAY_8[],5,0)</f>
        <v>JAPAN</v>
      </c>
      <c r="F270" s="5" t="str">
        <f>VLOOKUP(A270,DAY_8[],6,0)</f>
        <v>JAPANESE</v>
      </c>
      <c r="G270" s="5" t="str">
        <f>VLOOKUP(A270,DAY_8[],7,0)</f>
        <v>WEB DEVELOPMENT</v>
      </c>
      <c r="H270" s="5">
        <f>VLOOKUP(A270,DAY_8[],8,0)</f>
        <v>21</v>
      </c>
      <c r="I270" s="5">
        <f>VLOOKUP(A270,DAY_8[],10,0)</f>
        <v>100</v>
      </c>
      <c r="J270" s="5">
        <f>VLOOKUP(A270,DAY_8[],11,0)</f>
        <v>0</v>
      </c>
    </row>
    <row r="271" spans="1:10" x14ac:dyDescent="0.25">
      <c r="A271" s="2" t="s">
        <v>567</v>
      </c>
      <c r="B271" s="2" t="str">
        <f>VLOOKUP(A271,DAY_8[],2,0)</f>
        <v>FL250270</v>
      </c>
      <c r="C271" t="str">
        <f>VLOOKUP(A271,DAY_8[],3,0)</f>
        <v>FEMALE</v>
      </c>
      <c r="D271">
        <f>VLOOKUP(A271,DAY_8[],4,0)</f>
        <v>25</v>
      </c>
      <c r="E271" t="str">
        <f>VLOOKUP(A271,DAY_8[],5,0)</f>
        <v>JAPAN</v>
      </c>
      <c r="F271" s="5" t="str">
        <f>VLOOKUP(A271,DAY_8[],6,0)</f>
        <v>JAPANESE</v>
      </c>
      <c r="G271" s="5" t="str">
        <f>VLOOKUP(A271,DAY_8[],7,0)</f>
        <v>MACHINE LEARNING</v>
      </c>
      <c r="H271" s="5">
        <f>VLOOKUP(A271,DAY_8[],8,0)</f>
        <v>3</v>
      </c>
      <c r="I271" s="5">
        <f>VLOOKUP(A271,DAY_8[],10,0)</f>
        <v>50</v>
      </c>
      <c r="J271" s="5">
        <f>VLOOKUP(A271,DAY_8[],11,0)</f>
        <v>2.8</v>
      </c>
    </row>
    <row r="272" spans="1:10" x14ac:dyDescent="0.25">
      <c r="A272" s="2" t="s">
        <v>569</v>
      </c>
      <c r="B272" s="2" t="str">
        <f>VLOOKUP(A272,DAY_8[],2,0)</f>
        <v>FL250271</v>
      </c>
      <c r="C272" t="str">
        <f>VLOOKUP(A272,DAY_8[],3,0)</f>
        <v>FEMALE</v>
      </c>
      <c r="D272">
        <f>VLOOKUP(A272,DAY_8[],4,0)</f>
        <v>47</v>
      </c>
      <c r="E272" t="str">
        <f>VLOOKUP(A272,DAY_8[],5,0)</f>
        <v>SOUTH AFRICA</v>
      </c>
      <c r="F272" s="5" t="str">
        <f>VLOOKUP(A272,DAY_8[],6,0)</f>
        <v>AFRIKAANS</v>
      </c>
      <c r="G272" s="5" t="str">
        <f>VLOOKUP(A272,DAY_8[],7,0)</f>
        <v>MOBILE APPS</v>
      </c>
      <c r="H272" s="5">
        <f>VLOOKUP(A272,DAY_8[],8,0)</f>
        <v>14</v>
      </c>
      <c r="I272" s="5">
        <f>VLOOKUP(A272,DAY_8[],10,0)</f>
        <v>70</v>
      </c>
      <c r="J272" s="5">
        <f>VLOOKUP(A272,DAY_8[],11,0)</f>
        <v>2.4</v>
      </c>
    </row>
    <row r="273" spans="1:10" x14ac:dyDescent="0.25">
      <c r="A273" s="2" t="s">
        <v>571</v>
      </c>
      <c r="B273" s="2" t="str">
        <f>VLOOKUP(A273,DAY_8[],2,0)</f>
        <v>FL250272</v>
      </c>
      <c r="C273" t="str">
        <f>VLOOKUP(A273,DAY_8[],3,0)</f>
        <v>FEMALE</v>
      </c>
      <c r="D273">
        <f>VLOOKUP(A273,DAY_8[],4,0)</f>
        <v>35</v>
      </c>
      <c r="E273" t="str">
        <f>VLOOKUP(A273,DAY_8[],5,0)</f>
        <v>SOUTH AFRICA</v>
      </c>
      <c r="F273" s="5" t="str">
        <f>VLOOKUP(A273,DAY_8[],6,0)</f>
        <v>AFRIKAANS</v>
      </c>
      <c r="G273" s="5" t="str">
        <f>VLOOKUP(A273,DAY_8[],7,0)</f>
        <v>UI/UX DESIGN</v>
      </c>
      <c r="H273" s="5">
        <f>VLOOKUP(A273,DAY_8[],8,0)</f>
        <v>10</v>
      </c>
      <c r="I273" s="5">
        <f>VLOOKUP(A273,DAY_8[],10,0)</f>
        <v>100</v>
      </c>
      <c r="J273" s="5">
        <f>VLOOKUP(A273,DAY_8[],11,0)</f>
        <v>4.7</v>
      </c>
    </row>
    <row r="274" spans="1:10" x14ac:dyDescent="0.25">
      <c r="A274" s="2" t="s">
        <v>573</v>
      </c>
      <c r="B274" s="2" t="str">
        <f>VLOOKUP(A274,DAY_8[],2,0)</f>
        <v>FL250273</v>
      </c>
      <c r="C274" t="str">
        <f>VLOOKUP(A274,DAY_8[],3,0)</f>
        <v>FEMALE</v>
      </c>
      <c r="D274">
        <f>VLOOKUP(A274,DAY_8[],4,0)</f>
        <v>41</v>
      </c>
      <c r="E274" t="str">
        <f>VLOOKUP(A274,DAY_8[],5,0)</f>
        <v>UK</v>
      </c>
      <c r="F274" s="5" t="str">
        <f>VLOOKUP(A274,DAY_8[],6,0)</f>
        <v>ENGLISH</v>
      </c>
      <c r="G274" s="5" t="str">
        <f>VLOOKUP(A274,DAY_8[],7,0)</f>
        <v>CYBERSECURITY</v>
      </c>
      <c r="H274" s="5">
        <f>VLOOKUP(A274,DAY_8[],8,0)</f>
        <v>5</v>
      </c>
      <c r="I274" s="5">
        <f>VLOOKUP(A274,DAY_8[],10,0)</f>
        <v>100</v>
      </c>
      <c r="J274" s="5">
        <f>VLOOKUP(A274,DAY_8[],11,0)</f>
        <v>1.3</v>
      </c>
    </row>
    <row r="275" spans="1:10" x14ac:dyDescent="0.25">
      <c r="A275" s="2" t="s">
        <v>575</v>
      </c>
      <c r="B275" s="2" t="str">
        <f>VLOOKUP(A275,DAY_8[],2,0)</f>
        <v>FL250274</v>
      </c>
      <c r="C275" t="str">
        <f>VLOOKUP(A275,DAY_8[],3,0)</f>
        <v>MALE</v>
      </c>
      <c r="D275">
        <f>VLOOKUP(A275,DAY_8[],4,0)</f>
        <v>35</v>
      </c>
      <c r="E275" t="str">
        <f>VLOOKUP(A275,DAY_8[],5,0)</f>
        <v>NETHERLANDS</v>
      </c>
      <c r="F275" s="5" t="str">
        <f>VLOOKUP(A275,DAY_8[],6,0)</f>
        <v>DUTCH</v>
      </c>
      <c r="G275" s="5" t="str">
        <f>VLOOKUP(A275,DAY_8[],7,0)</f>
        <v>BLOCKCHAIN DEVELOPMENT</v>
      </c>
      <c r="H275" s="5">
        <f>VLOOKUP(A275,DAY_8[],8,0)</f>
        <v>6</v>
      </c>
      <c r="I275" s="5">
        <f>VLOOKUP(A275,DAY_8[],10,0)</f>
        <v>75</v>
      </c>
      <c r="J275" s="5">
        <f>VLOOKUP(A275,DAY_8[],11,0)</f>
        <v>1.6</v>
      </c>
    </row>
    <row r="276" spans="1:10" x14ac:dyDescent="0.25">
      <c r="A276" s="2" t="s">
        <v>577</v>
      </c>
      <c r="B276" s="2" t="str">
        <f>VLOOKUP(A276,DAY_8[],2,0)</f>
        <v>FL250275</v>
      </c>
      <c r="C276" t="str">
        <f>VLOOKUP(A276,DAY_8[],3,0)</f>
        <v>MALE</v>
      </c>
      <c r="D276">
        <f>VLOOKUP(A276,DAY_8[],4,0)</f>
        <v>59</v>
      </c>
      <c r="E276" t="str">
        <f>VLOOKUP(A276,DAY_8[],5,0)</f>
        <v>FRANCE</v>
      </c>
      <c r="F276" s="5" t="str">
        <f>VLOOKUP(A276,DAY_8[],6,0)</f>
        <v>FRENCH</v>
      </c>
      <c r="G276" s="5" t="str">
        <f>VLOOKUP(A276,DAY_8[],7,0)</f>
        <v>WEB DEVELOPMENT</v>
      </c>
      <c r="H276" s="5">
        <f>VLOOKUP(A276,DAY_8[],8,0)</f>
        <v>21</v>
      </c>
      <c r="I276" s="5">
        <f>VLOOKUP(A276,DAY_8[],10,0)</f>
        <v>100</v>
      </c>
      <c r="J276" s="5">
        <f>VLOOKUP(A276,DAY_8[],11,0)</f>
        <v>0</v>
      </c>
    </row>
    <row r="277" spans="1:10" x14ac:dyDescent="0.25">
      <c r="A277" s="2" t="s">
        <v>579</v>
      </c>
      <c r="B277" s="2" t="str">
        <f>VLOOKUP(A277,DAY_8[],2,0)</f>
        <v>FL250276</v>
      </c>
      <c r="C277" t="str">
        <f>VLOOKUP(A277,DAY_8[],3,0)</f>
        <v>FEMALE</v>
      </c>
      <c r="D277">
        <f>VLOOKUP(A277,DAY_8[],4,0)</f>
        <v>26</v>
      </c>
      <c r="E277" t="str">
        <f>VLOOKUP(A277,DAY_8[],5,0)</f>
        <v>CHINA</v>
      </c>
      <c r="F277" s="5" t="str">
        <f>VLOOKUP(A277,DAY_8[],6,0)</f>
        <v>MANDARIN</v>
      </c>
      <c r="G277" s="5" t="str">
        <f>VLOOKUP(A277,DAY_8[],7,0)</f>
        <v>UI/UX DESIGN</v>
      </c>
      <c r="H277" s="5">
        <f>VLOOKUP(A277,DAY_8[],8,0)</f>
        <v>4</v>
      </c>
      <c r="I277" s="5">
        <f>VLOOKUP(A277,DAY_8[],10,0)</f>
        <v>100</v>
      </c>
      <c r="J277" s="5">
        <f>VLOOKUP(A277,DAY_8[],11,0)</f>
        <v>3.6</v>
      </c>
    </row>
    <row r="278" spans="1:10" x14ac:dyDescent="0.25">
      <c r="A278" s="2" t="s">
        <v>581</v>
      </c>
      <c r="B278" s="2" t="str">
        <f>VLOOKUP(A278,DAY_8[],2,0)</f>
        <v>FL250277</v>
      </c>
      <c r="C278" t="str">
        <f>VLOOKUP(A278,DAY_8[],3,0)</f>
        <v>MALE</v>
      </c>
      <c r="D278">
        <f>VLOOKUP(A278,DAY_8[],4,0)</f>
        <v>44</v>
      </c>
      <c r="E278" t="str">
        <f>VLOOKUP(A278,DAY_8[],5,0)</f>
        <v>RUSSIA</v>
      </c>
      <c r="F278" s="5" t="str">
        <f>VLOOKUP(A278,DAY_8[],6,0)</f>
        <v>RUSSIAN</v>
      </c>
      <c r="G278" s="5" t="str">
        <f>VLOOKUP(A278,DAY_8[],7,0)</f>
        <v>MACHINE LEARNING</v>
      </c>
      <c r="H278" s="5">
        <f>VLOOKUP(A278,DAY_8[],8,0)</f>
        <v>18</v>
      </c>
      <c r="I278" s="5">
        <f>VLOOKUP(A278,DAY_8[],10,0)</f>
        <v>20</v>
      </c>
      <c r="J278" s="5">
        <f>VLOOKUP(A278,DAY_8[],11,0)</f>
        <v>4.7</v>
      </c>
    </row>
    <row r="279" spans="1:10" x14ac:dyDescent="0.25">
      <c r="A279" s="2" t="s">
        <v>583</v>
      </c>
      <c r="B279" s="2" t="str">
        <f>VLOOKUP(A279,DAY_8[],2,0)</f>
        <v>FL250278</v>
      </c>
      <c r="C279" t="str">
        <f>VLOOKUP(A279,DAY_8[],3,0)</f>
        <v>FEMALE</v>
      </c>
      <c r="D279">
        <f>VLOOKUP(A279,DAY_8[],4,0)</f>
        <v>31</v>
      </c>
      <c r="E279" t="str">
        <f>VLOOKUP(A279,DAY_8[],5,0)</f>
        <v>SOUTH AFRICA</v>
      </c>
      <c r="F279" s="5" t="str">
        <f>VLOOKUP(A279,DAY_8[],6,0)</f>
        <v>AFRIKAANS</v>
      </c>
      <c r="G279" s="5" t="str">
        <f>VLOOKUP(A279,DAY_8[],7,0)</f>
        <v>UI/UX DESIGN</v>
      </c>
      <c r="H279" s="5">
        <f>VLOOKUP(A279,DAY_8[],8,0)</f>
        <v>12</v>
      </c>
      <c r="I279" s="5">
        <f>VLOOKUP(A279,DAY_8[],10,0)</f>
        <v>40</v>
      </c>
      <c r="J279" s="5">
        <f>VLOOKUP(A279,DAY_8[],11,0)</f>
        <v>2.4</v>
      </c>
    </row>
    <row r="280" spans="1:10" x14ac:dyDescent="0.25">
      <c r="A280" s="2" t="s">
        <v>1070</v>
      </c>
      <c r="B280" s="2" t="str">
        <f>VLOOKUP(A280,DAY_8[],2,0)</f>
        <v>FL250279</v>
      </c>
      <c r="C280" t="str">
        <f>VLOOKUP(A280,DAY_8[],3,0)</f>
        <v>MALE</v>
      </c>
      <c r="D280">
        <f>VLOOKUP(A280,DAY_8[],4,0)</f>
        <v>60</v>
      </c>
      <c r="E280" t="str">
        <f>VLOOKUP(A280,DAY_8[],5,0)</f>
        <v>TURKEY</v>
      </c>
      <c r="F280" s="5" t="str">
        <f>VLOOKUP(A280,DAY_8[],6,0)</f>
        <v>TURKISH</v>
      </c>
      <c r="G280" s="5" t="str">
        <f>VLOOKUP(A280,DAY_8[],7,0)</f>
        <v>DATA ANALYSIS</v>
      </c>
      <c r="H280" s="5">
        <f>VLOOKUP(A280,DAY_8[],8,0)</f>
        <v>6</v>
      </c>
      <c r="I280" s="5">
        <f>VLOOKUP(A280,DAY_8[],10,0)</f>
        <v>70</v>
      </c>
      <c r="J280" s="5">
        <f>VLOOKUP(A280,DAY_8[],11,0)</f>
        <v>3.2</v>
      </c>
    </row>
    <row r="281" spans="1:10" x14ac:dyDescent="0.25">
      <c r="A281" s="2" t="s">
        <v>586</v>
      </c>
      <c r="B281" s="2" t="str">
        <f>VLOOKUP(A281,DAY_8[],2,0)</f>
        <v>FL250280</v>
      </c>
      <c r="C281" t="str">
        <f>VLOOKUP(A281,DAY_8[],3,0)</f>
        <v>FEMALE</v>
      </c>
      <c r="D281">
        <f>VLOOKUP(A281,DAY_8[],4,0)</f>
        <v>23</v>
      </c>
      <c r="E281" t="str">
        <f>VLOOKUP(A281,DAY_8[],5,0)</f>
        <v>UK</v>
      </c>
      <c r="F281" s="5" t="str">
        <f>VLOOKUP(A281,DAY_8[],6,0)</f>
        <v>ENGLISH</v>
      </c>
      <c r="G281" s="5" t="str">
        <f>VLOOKUP(A281,DAY_8[],7,0)</f>
        <v>BLOCKCHAIN DEVELOPMENT</v>
      </c>
      <c r="H281" s="5">
        <f>VLOOKUP(A281,DAY_8[],8,0)</f>
        <v>4</v>
      </c>
      <c r="I281" s="5">
        <f>VLOOKUP(A281,DAY_8[],10,0)</f>
        <v>20</v>
      </c>
      <c r="J281" s="5">
        <f>VLOOKUP(A281,DAY_8[],11,0)</f>
        <v>2.4</v>
      </c>
    </row>
    <row r="282" spans="1:10" x14ac:dyDescent="0.25">
      <c r="A282" s="2" t="s">
        <v>588</v>
      </c>
      <c r="B282" s="2" t="str">
        <f>VLOOKUP(A282,DAY_8[],2,0)</f>
        <v>FL250281</v>
      </c>
      <c r="C282" t="str">
        <f>VLOOKUP(A282,DAY_8[],3,0)</f>
        <v>MALE</v>
      </c>
      <c r="D282">
        <f>VLOOKUP(A282,DAY_8[],4,0)</f>
        <v>42</v>
      </c>
      <c r="E282" t="str">
        <f>VLOOKUP(A282,DAY_8[],5,0)</f>
        <v>INDONESIA</v>
      </c>
      <c r="F282" s="5" t="str">
        <f>VLOOKUP(A282,DAY_8[],6,0)</f>
        <v>INDONESIAN</v>
      </c>
      <c r="G282" s="5" t="str">
        <f>VLOOKUP(A282,DAY_8[],7,0)</f>
        <v>UI/UX DESIGN</v>
      </c>
      <c r="H282" s="5">
        <f>VLOOKUP(A282,DAY_8[],8,0)</f>
        <v>13</v>
      </c>
      <c r="I282" s="5">
        <f>VLOOKUP(A282,DAY_8[],10,0)</f>
        <v>20</v>
      </c>
      <c r="J282" s="5">
        <f>VLOOKUP(A282,DAY_8[],11,0)</f>
        <v>4.7</v>
      </c>
    </row>
    <row r="283" spans="1:10" x14ac:dyDescent="0.25">
      <c r="A283" s="2" t="s">
        <v>590</v>
      </c>
      <c r="B283" s="2" t="str">
        <f>VLOOKUP(A283,DAY_8[],2,0)</f>
        <v>FL250282</v>
      </c>
      <c r="C283" t="str">
        <f>VLOOKUP(A283,DAY_8[],3,0)</f>
        <v>FEMALE</v>
      </c>
      <c r="D283">
        <f>VLOOKUP(A283,DAY_8[],4,0)</f>
        <v>48</v>
      </c>
      <c r="E283" t="str">
        <f>VLOOKUP(A283,DAY_8[],5,0)</f>
        <v>INDIA</v>
      </c>
      <c r="F283" s="5" t="str">
        <f>VLOOKUP(A283,DAY_8[],6,0)</f>
        <v>HINDI</v>
      </c>
      <c r="G283" s="5" t="str">
        <f>VLOOKUP(A283,DAY_8[],7,0)</f>
        <v>MOBILE APPS</v>
      </c>
      <c r="H283" s="5">
        <f>VLOOKUP(A283,DAY_8[],8,0)</f>
        <v>6</v>
      </c>
      <c r="I283" s="5">
        <f>VLOOKUP(A283,DAY_8[],10,0)</f>
        <v>30</v>
      </c>
      <c r="J283" s="5">
        <f>VLOOKUP(A283,DAY_8[],11,0)</f>
        <v>2.4</v>
      </c>
    </row>
    <row r="284" spans="1:10" x14ac:dyDescent="0.25">
      <c r="A284" s="2" t="s">
        <v>592</v>
      </c>
      <c r="B284" s="2" t="str">
        <f>VLOOKUP(A284,DAY_8[],2,0)</f>
        <v>FL250283</v>
      </c>
      <c r="C284" t="str">
        <f>VLOOKUP(A284,DAY_8[],3,0)</f>
        <v>MALE</v>
      </c>
      <c r="D284">
        <f>VLOOKUP(A284,DAY_8[],4,0)</f>
        <v>42</v>
      </c>
      <c r="E284" t="str">
        <f>VLOOKUP(A284,DAY_8[],5,0)</f>
        <v>NETHERLANDS</v>
      </c>
      <c r="F284" s="5" t="str">
        <f>VLOOKUP(A284,DAY_8[],6,0)</f>
        <v>DUTCH</v>
      </c>
      <c r="G284" s="5" t="str">
        <f>VLOOKUP(A284,DAY_8[],7,0)</f>
        <v>GRAPHIC DESIGN</v>
      </c>
      <c r="H284" s="5">
        <f>VLOOKUP(A284,DAY_8[],8,0)</f>
        <v>10</v>
      </c>
      <c r="I284" s="5">
        <f>VLOOKUP(A284,DAY_8[],10,0)</f>
        <v>20</v>
      </c>
      <c r="J284" s="5">
        <f>VLOOKUP(A284,DAY_8[],11,0)</f>
        <v>2.4</v>
      </c>
    </row>
    <row r="285" spans="1:10" x14ac:dyDescent="0.25">
      <c r="A285" s="2" t="s">
        <v>594</v>
      </c>
      <c r="B285" s="2" t="str">
        <f>VLOOKUP(A285,DAY_8[],2,0)</f>
        <v>FL250284</v>
      </c>
      <c r="C285" t="str">
        <f>VLOOKUP(A285,DAY_8[],3,0)</f>
        <v>MALE</v>
      </c>
      <c r="D285">
        <f>VLOOKUP(A285,DAY_8[],4,0)</f>
        <v>52</v>
      </c>
      <c r="E285" t="str">
        <f>VLOOKUP(A285,DAY_8[],5,0)</f>
        <v>SOUTH KOREA</v>
      </c>
      <c r="F285" s="5" t="str">
        <f>VLOOKUP(A285,DAY_8[],6,0)</f>
        <v>KOREAN</v>
      </c>
      <c r="G285" s="5" t="str">
        <f>VLOOKUP(A285,DAY_8[],7,0)</f>
        <v>CYBERSECURITY</v>
      </c>
      <c r="H285" s="5">
        <f>VLOOKUP(A285,DAY_8[],8,0)</f>
        <v>20</v>
      </c>
      <c r="I285" s="5">
        <f>VLOOKUP(A285,DAY_8[],10,0)</f>
        <v>50</v>
      </c>
      <c r="J285" s="5">
        <f>VLOOKUP(A285,DAY_8[],11,0)</f>
        <v>2.4</v>
      </c>
    </row>
    <row r="286" spans="1:10" x14ac:dyDescent="0.25">
      <c r="A286" s="2" t="s">
        <v>596</v>
      </c>
      <c r="B286" s="2" t="str">
        <f>VLOOKUP(A286,DAY_8[],2,0)</f>
        <v>FL250285</v>
      </c>
      <c r="C286" t="str">
        <f>VLOOKUP(A286,DAY_8[],3,0)</f>
        <v>FEMALE</v>
      </c>
      <c r="D286">
        <f>VLOOKUP(A286,DAY_8[],4,0)</f>
        <v>55</v>
      </c>
      <c r="E286" t="str">
        <f>VLOOKUP(A286,DAY_8[],5,0)</f>
        <v>JAPAN</v>
      </c>
      <c r="F286" s="5" t="str">
        <f>VLOOKUP(A286,DAY_8[],6,0)</f>
        <v>JAPANESE</v>
      </c>
      <c r="G286" s="5" t="str">
        <f>VLOOKUP(A286,DAY_8[],7,0)</f>
        <v>WEB DEVELOPMENT</v>
      </c>
      <c r="H286" s="5">
        <f>VLOOKUP(A286,DAY_8[],8,0)</f>
        <v>20</v>
      </c>
      <c r="I286" s="5">
        <f>VLOOKUP(A286,DAY_8[],10,0)</f>
        <v>75</v>
      </c>
      <c r="J286" s="5">
        <f>VLOOKUP(A286,DAY_8[],11,0)</f>
        <v>2.9</v>
      </c>
    </row>
    <row r="287" spans="1:10" x14ac:dyDescent="0.25">
      <c r="A287" s="2" t="s">
        <v>598</v>
      </c>
      <c r="B287" s="2" t="str">
        <f>VLOOKUP(A287,DAY_8[],2,0)</f>
        <v>FL250286</v>
      </c>
      <c r="C287" t="str">
        <f>VLOOKUP(A287,DAY_8[],3,0)</f>
        <v>FEMALE</v>
      </c>
      <c r="D287">
        <f>VLOOKUP(A287,DAY_8[],4,0)</f>
        <v>58</v>
      </c>
      <c r="E287" t="str">
        <f>VLOOKUP(A287,DAY_8[],5,0)</f>
        <v>SOUTH AFRICA</v>
      </c>
      <c r="F287" s="5" t="str">
        <f>VLOOKUP(A287,DAY_8[],6,0)</f>
        <v>AFRIKAANS</v>
      </c>
      <c r="G287" s="5" t="str">
        <f>VLOOKUP(A287,DAY_8[],7,0)</f>
        <v>CYBERSECURITY</v>
      </c>
      <c r="H287" s="5">
        <f>VLOOKUP(A287,DAY_8[],8,0)</f>
        <v>11</v>
      </c>
      <c r="I287" s="5">
        <f>VLOOKUP(A287,DAY_8[],10,0)</f>
        <v>50</v>
      </c>
      <c r="J287" s="5">
        <f>VLOOKUP(A287,DAY_8[],11,0)</f>
        <v>0</v>
      </c>
    </row>
    <row r="288" spans="1:10" x14ac:dyDescent="0.25">
      <c r="A288" s="2" t="s">
        <v>600</v>
      </c>
      <c r="B288" s="2" t="str">
        <f>VLOOKUP(A288,DAY_8[],2,0)</f>
        <v>FL250287</v>
      </c>
      <c r="C288" t="str">
        <f>VLOOKUP(A288,DAY_8[],3,0)</f>
        <v>FEMALE</v>
      </c>
      <c r="D288">
        <f>VLOOKUP(A288,DAY_8[],4,0)</f>
        <v>46</v>
      </c>
      <c r="E288" t="str">
        <f>VLOOKUP(A288,DAY_8[],5,0)</f>
        <v>SOUTH KOREA</v>
      </c>
      <c r="F288" s="5" t="str">
        <f>VLOOKUP(A288,DAY_8[],6,0)</f>
        <v>KOREAN</v>
      </c>
      <c r="G288" s="5" t="str">
        <f>VLOOKUP(A288,DAY_8[],7,0)</f>
        <v>MACHINE LEARNING</v>
      </c>
      <c r="H288" s="5">
        <f>VLOOKUP(A288,DAY_8[],8,0)</f>
        <v>12</v>
      </c>
      <c r="I288" s="5">
        <f>VLOOKUP(A288,DAY_8[],10,0)</f>
        <v>20</v>
      </c>
      <c r="J288" s="5">
        <f>VLOOKUP(A288,DAY_8[],11,0)</f>
        <v>0</v>
      </c>
    </row>
    <row r="289" spans="1:10" x14ac:dyDescent="0.25">
      <c r="A289" s="2" t="s">
        <v>602</v>
      </c>
      <c r="B289" s="2" t="str">
        <f>VLOOKUP(A289,DAY_8[],2,0)</f>
        <v>FL250288</v>
      </c>
      <c r="C289" t="str">
        <f>VLOOKUP(A289,DAY_8[],3,0)</f>
        <v>FEMALE</v>
      </c>
      <c r="D289">
        <f>VLOOKUP(A289,DAY_8[],4,0)</f>
        <v>45</v>
      </c>
      <c r="E289" t="str">
        <f>VLOOKUP(A289,DAY_8[],5,0)</f>
        <v>SPAIN</v>
      </c>
      <c r="F289" s="5" t="str">
        <f>VLOOKUP(A289,DAY_8[],6,0)</f>
        <v>SPANISH</v>
      </c>
      <c r="G289" s="5" t="str">
        <f>VLOOKUP(A289,DAY_8[],7,0)</f>
        <v>MACHINE LEARNING</v>
      </c>
      <c r="H289" s="5">
        <f>VLOOKUP(A289,DAY_8[],8,0)</f>
        <v>1</v>
      </c>
      <c r="I289" s="5">
        <f>VLOOKUP(A289,DAY_8[],10,0)</f>
        <v>100</v>
      </c>
      <c r="J289" s="5">
        <f>VLOOKUP(A289,DAY_8[],11,0)</f>
        <v>1.5</v>
      </c>
    </row>
    <row r="290" spans="1:10" x14ac:dyDescent="0.25">
      <c r="A290" s="2" t="s">
        <v>604</v>
      </c>
      <c r="B290" s="2" t="str">
        <f>VLOOKUP(A290,DAY_8[],2,0)</f>
        <v>FL250289</v>
      </c>
      <c r="C290" t="str">
        <f>VLOOKUP(A290,DAY_8[],3,0)</f>
        <v>FEMALE</v>
      </c>
      <c r="D290">
        <f>VLOOKUP(A290,DAY_8[],4,0)</f>
        <v>56</v>
      </c>
      <c r="E290" t="str">
        <f>VLOOKUP(A290,DAY_8[],5,0)</f>
        <v>INDIA</v>
      </c>
      <c r="F290" s="5" t="str">
        <f>VLOOKUP(A290,DAY_8[],6,0)</f>
        <v>HINDI</v>
      </c>
      <c r="G290" s="5" t="str">
        <f>VLOOKUP(A290,DAY_8[],7,0)</f>
        <v>MACHINE LEARNING</v>
      </c>
      <c r="H290" s="5">
        <f>VLOOKUP(A290,DAY_8[],8,0)</f>
        <v>2</v>
      </c>
      <c r="I290" s="5">
        <f>VLOOKUP(A290,DAY_8[],10,0)</f>
        <v>30</v>
      </c>
      <c r="J290" s="5">
        <f>VLOOKUP(A290,DAY_8[],11,0)</f>
        <v>1.9</v>
      </c>
    </row>
    <row r="291" spans="1:10" x14ac:dyDescent="0.25">
      <c r="A291" s="2" t="s">
        <v>606</v>
      </c>
      <c r="B291" s="2" t="str">
        <f>VLOOKUP(A291,DAY_8[],2,0)</f>
        <v>FL250290</v>
      </c>
      <c r="C291" t="str">
        <f>VLOOKUP(A291,DAY_8[],3,0)</f>
        <v>MALE</v>
      </c>
      <c r="D291">
        <f>VLOOKUP(A291,DAY_8[],4,0)</f>
        <v>44</v>
      </c>
      <c r="E291" t="str">
        <f>VLOOKUP(A291,DAY_8[],5,0)</f>
        <v>UK</v>
      </c>
      <c r="F291" s="5" t="str">
        <f>VLOOKUP(A291,DAY_8[],6,0)</f>
        <v>ENGLISH</v>
      </c>
      <c r="G291" s="5" t="str">
        <f>VLOOKUP(A291,DAY_8[],7,0)</f>
        <v>BLOCKCHAIN DEVELOPMENT</v>
      </c>
      <c r="H291" s="5">
        <f>VLOOKUP(A291,DAY_8[],8,0)</f>
        <v>13</v>
      </c>
      <c r="I291" s="5">
        <f>VLOOKUP(A291,DAY_8[],10,0)</f>
        <v>100</v>
      </c>
      <c r="J291" s="5">
        <f>VLOOKUP(A291,DAY_8[],11,0)</f>
        <v>3.1</v>
      </c>
    </row>
    <row r="292" spans="1:10" x14ac:dyDescent="0.25">
      <c r="A292" s="2" t="s">
        <v>608</v>
      </c>
      <c r="B292" s="2" t="str">
        <f>VLOOKUP(A292,DAY_8[],2,0)</f>
        <v>FL250291</v>
      </c>
      <c r="C292" t="str">
        <f>VLOOKUP(A292,DAY_8[],3,0)</f>
        <v>MALE</v>
      </c>
      <c r="D292">
        <f>VLOOKUP(A292,DAY_8[],4,0)</f>
        <v>46</v>
      </c>
      <c r="E292" t="str">
        <f>VLOOKUP(A292,DAY_8[],5,0)</f>
        <v>INDONESIA</v>
      </c>
      <c r="F292" s="5" t="str">
        <f>VLOOKUP(A292,DAY_8[],6,0)</f>
        <v>INDONESIAN</v>
      </c>
      <c r="G292" s="5" t="str">
        <f>VLOOKUP(A292,DAY_8[],7,0)</f>
        <v>UI/UX DESIGN</v>
      </c>
      <c r="H292" s="5">
        <f>VLOOKUP(A292,DAY_8[],8,0)</f>
        <v>0</v>
      </c>
      <c r="I292" s="5">
        <f>VLOOKUP(A292,DAY_8[],10,0)</f>
        <v>70</v>
      </c>
      <c r="J292" s="5">
        <f>VLOOKUP(A292,DAY_8[],11,0)</f>
        <v>1.8</v>
      </c>
    </row>
    <row r="293" spans="1:10" x14ac:dyDescent="0.25">
      <c r="A293" s="2" t="s">
        <v>610</v>
      </c>
      <c r="B293" s="2" t="str">
        <f>VLOOKUP(A293,DAY_8[],2,0)</f>
        <v>FL250292</v>
      </c>
      <c r="C293" t="str">
        <f>VLOOKUP(A293,DAY_8[],3,0)</f>
        <v>FEMALE</v>
      </c>
      <c r="D293">
        <f>VLOOKUP(A293,DAY_8[],4,0)</f>
        <v>27</v>
      </c>
      <c r="E293" t="str">
        <f>VLOOKUP(A293,DAY_8[],5,0)</f>
        <v>JAPAN</v>
      </c>
      <c r="F293" s="5" t="str">
        <f>VLOOKUP(A293,DAY_8[],6,0)</f>
        <v>JAPANESE</v>
      </c>
      <c r="G293" s="5" t="str">
        <f>VLOOKUP(A293,DAY_8[],7,0)</f>
        <v>WEB DEVELOPMENT</v>
      </c>
      <c r="H293" s="5">
        <f>VLOOKUP(A293,DAY_8[],8,0)</f>
        <v>7</v>
      </c>
      <c r="I293" s="5">
        <f>VLOOKUP(A293,DAY_8[],10,0)</f>
        <v>30</v>
      </c>
      <c r="J293" s="5">
        <f>VLOOKUP(A293,DAY_8[],11,0)</f>
        <v>2.4</v>
      </c>
    </row>
    <row r="294" spans="1:10" x14ac:dyDescent="0.25">
      <c r="A294" s="2" t="s">
        <v>612</v>
      </c>
      <c r="B294" s="2" t="str">
        <f>VLOOKUP(A294,DAY_8[],2,0)</f>
        <v>FL250293</v>
      </c>
      <c r="C294" t="str">
        <f>VLOOKUP(A294,DAY_8[],3,0)</f>
        <v>FEMALE</v>
      </c>
      <c r="D294">
        <f>VLOOKUP(A294,DAY_8[],4,0)</f>
        <v>49</v>
      </c>
      <c r="E294" t="str">
        <f>VLOOKUP(A294,DAY_8[],5,0)</f>
        <v>INDIA</v>
      </c>
      <c r="F294" s="5" t="str">
        <f>VLOOKUP(A294,DAY_8[],6,0)</f>
        <v>HINDI</v>
      </c>
      <c r="G294" s="5" t="str">
        <f>VLOOKUP(A294,DAY_8[],7,0)</f>
        <v>BLOCKCHAIN DEVELOPMENT</v>
      </c>
      <c r="H294" s="5">
        <f>VLOOKUP(A294,DAY_8[],8,0)</f>
        <v>13</v>
      </c>
      <c r="I294" s="5">
        <f>VLOOKUP(A294,DAY_8[],10,0)</f>
        <v>100</v>
      </c>
      <c r="J294" s="5">
        <f>VLOOKUP(A294,DAY_8[],11,0)</f>
        <v>4.2</v>
      </c>
    </row>
    <row r="295" spans="1:10" x14ac:dyDescent="0.25">
      <c r="A295" s="2" t="s">
        <v>614</v>
      </c>
      <c r="B295" s="2" t="str">
        <f>VLOOKUP(A295,DAY_8[],2,0)</f>
        <v>FL250294</v>
      </c>
      <c r="C295" t="str">
        <f>VLOOKUP(A295,DAY_8[],3,0)</f>
        <v>MALE</v>
      </c>
      <c r="D295">
        <f>VLOOKUP(A295,DAY_8[],4,0)</f>
        <v>53</v>
      </c>
      <c r="E295" t="str">
        <f>VLOOKUP(A295,DAY_8[],5,0)</f>
        <v>MEXICO</v>
      </c>
      <c r="F295" s="5" t="str">
        <f>VLOOKUP(A295,DAY_8[],6,0)</f>
        <v>SPANISH</v>
      </c>
      <c r="G295" s="5" t="str">
        <f>VLOOKUP(A295,DAY_8[],7,0)</f>
        <v>WEB DEVELOPMENT</v>
      </c>
      <c r="H295" s="5">
        <f>VLOOKUP(A295,DAY_8[],8,0)</f>
        <v>21</v>
      </c>
      <c r="I295" s="5">
        <f>VLOOKUP(A295,DAY_8[],10,0)</f>
        <v>50</v>
      </c>
      <c r="J295" s="5">
        <f>VLOOKUP(A295,DAY_8[],11,0)</f>
        <v>1.4</v>
      </c>
    </row>
    <row r="296" spans="1:10" x14ac:dyDescent="0.25">
      <c r="A296" s="2" t="s">
        <v>616</v>
      </c>
      <c r="B296" s="2" t="str">
        <f>VLOOKUP(A296,DAY_8[],2,0)</f>
        <v>FL250295</v>
      </c>
      <c r="C296" t="str">
        <f>VLOOKUP(A296,DAY_8[],3,0)</f>
        <v>MALE</v>
      </c>
      <c r="D296">
        <f>VLOOKUP(A296,DAY_8[],4,0)</f>
        <v>56</v>
      </c>
      <c r="E296" t="str">
        <f>VLOOKUP(A296,DAY_8[],5,0)</f>
        <v>AUSTRALIA</v>
      </c>
      <c r="F296" s="5" t="str">
        <f>VLOOKUP(A296,DAY_8[],6,0)</f>
        <v>ENGLISH</v>
      </c>
      <c r="G296" s="5" t="str">
        <f>VLOOKUP(A296,DAY_8[],7,0)</f>
        <v>WEB DEVELOPMENT</v>
      </c>
      <c r="H296" s="5">
        <f>VLOOKUP(A296,DAY_8[],8,0)</f>
        <v>19</v>
      </c>
      <c r="I296" s="5">
        <f>VLOOKUP(A296,DAY_8[],10,0)</f>
        <v>40</v>
      </c>
      <c r="J296" s="5">
        <f>VLOOKUP(A296,DAY_8[],11,0)</f>
        <v>1.2</v>
      </c>
    </row>
    <row r="297" spans="1:10" x14ac:dyDescent="0.25">
      <c r="A297" s="2" t="s">
        <v>618</v>
      </c>
      <c r="B297" s="2" t="str">
        <f>VLOOKUP(A297,DAY_8[],2,0)</f>
        <v>FL250296</v>
      </c>
      <c r="C297" t="str">
        <f>VLOOKUP(A297,DAY_8[],3,0)</f>
        <v>FEMALE</v>
      </c>
      <c r="D297">
        <f>VLOOKUP(A297,DAY_8[],4,0)</f>
        <v>56</v>
      </c>
      <c r="E297" t="str">
        <f>VLOOKUP(A297,DAY_8[],5,0)</f>
        <v>UK</v>
      </c>
      <c r="F297" s="5" t="str">
        <f>VLOOKUP(A297,DAY_8[],6,0)</f>
        <v>ENGLISH</v>
      </c>
      <c r="G297" s="5" t="str">
        <f>VLOOKUP(A297,DAY_8[],7,0)</f>
        <v>DEVOPS</v>
      </c>
      <c r="H297" s="5">
        <f>VLOOKUP(A297,DAY_8[],8,0)</f>
        <v>34</v>
      </c>
      <c r="I297" s="5">
        <f>VLOOKUP(A297,DAY_8[],10,0)</f>
        <v>70</v>
      </c>
      <c r="J297" s="5">
        <f>VLOOKUP(A297,DAY_8[],11,0)</f>
        <v>2.1</v>
      </c>
    </row>
    <row r="298" spans="1:10" x14ac:dyDescent="0.25">
      <c r="A298" s="2" t="s">
        <v>620</v>
      </c>
      <c r="B298" s="2" t="str">
        <f>VLOOKUP(A298,DAY_8[],2,0)</f>
        <v>FL250297</v>
      </c>
      <c r="C298" t="str">
        <f>VLOOKUP(A298,DAY_8[],3,0)</f>
        <v>MALE</v>
      </c>
      <c r="D298">
        <f>VLOOKUP(A298,DAY_8[],4,0)</f>
        <v>38</v>
      </c>
      <c r="E298" t="str">
        <f>VLOOKUP(A298,DAY_8[],5,0)</f>
        <v>SOUTH AFRICA</v>
      </c>
      <c r="F298" s="5" t="str">
        <f>VLOOKUP(A298,DAY_8[],6,0)</f>
        <v>AFRIKAANS</v>
      </c>
      <c r="G298" s="5" t="str">
        <f>VLOOKUP(A298,DAY_8[],7,0)</f>
        <v>DATA ANALYSIS</v>
      </c>
      <c r="H298" s="5">
        <f>VLOOKUP(A298,DAY_8[],8,0)</f>
        <v>3</v>
      </c>
      <c r="I298" s="5">
        <f>VLOOKUP(A298,DAY_8[],10,0)</f>
        <v>100</v>
      </c>
      <c r="J298" s="5">
        <f>VLOOKUP(A298,DAY_8[],11,0)</f>
        <v>1.4</v>
      </c>
    </row>
    <row r="299" spans="1:10" x14ac:dyDescent="0.25">
      <c r="A299" s="2" t="s">
        <v>622</v>
      </c>
      <c r="B299" s="2" t="str">
        <f>VLOOKUP(A299,DAY_8[],2,0)</f>
        <v>FL250298</v>
      </c>
      <c r="C299" t="str">
        <f>VLOOKUP(A299,DAY_8[],3,0)</f>
        <v>MALE</v>
      </c>
      <c r="D299">
        <f>VLOOKUP(A299,DAY_8[],4,0)</f>
        <v>20</v>
      </c>
      <c r="E299" t="str">
        <f>VLOOKUP(A299,DAY_8[],5,0)</f>
        <v>SOUTH KOREA</v>
      </c>
      <c r="F299" s="5" t="str">
        <f>VLOOKUP(A299,DAY_8[],6,0)</f>
        <v>KOREAN</v>
      </c>
      <c r="G299" s="5" t="str">
        <f>VLOOKUP(A299,DAY_8[],7,0)</f>
        <v>MOBILE APPS</v>
      </c>
      <c r="H299" s="5">
        <f>VLOOKUP(A299,DAY_8[],8,0)</f>
        <v>0</v>
      </c>
      <c r="I299" s="5">
        <f>VLOOKUP(A299,DAY_8[],10,0)</f>
        <v>30</v>
      </c>
      <c r="J299" s="5">
        <f>VLOOKUP(A299,DAY_8[],11,0)</f>
        <v>3.8</v>
      </c>
    </row>
    <row r="300" spans="1:10" x14ac:dyDescent="0.25">
      <c r="A300" s="2" t="s">
        <v>624</v>
      </c>
      <c r="B300" s="2" t="str">
        <f>VLOOKUP(A300,DAY_8[],2,0)</f>
        <v>FL250299</v>
      </c>
      <c r="C300" t="str">
        <f>VLOOKUP(A300,DAY_8[],3,0)</f>
        <v>FEMALE</v>
      </c>
      <c r="D300">
        <f>VLOOKUP(A300,DAY_8[],4,0)</f>
        <v>38</v>
      </c>
      <c r="E300" t="str">
        <f>VLOOKUP(A300,DAY_8[],5,0)</f>
        <v>CANADA</v>
      </c>
      <c r="F300" s="5" t="str">
        <f>VLOOKUP(A300,DAY_8[],6,0)</f>
        <v>ENGLISH</v>
      </c>
      <c r="G300" s="5" t="str">
        <f>VLOOKUP(A300,DAY_8[],7,0)</f>
        <v>MACHINE LEARNING</v>
      </c>
      <c r="H300" s="5">
        <f>VLOOKUP(A300,DAY_8[],8,0)</f>
        <v>20</v>
      </c>
      <c r="I300" s="5">
        <f>VLOOKUP(A300,DAY_8[],10,0)</f>
        <v>50</v>
      </c>
      <c r="J300" s="5">
        <f>VLOOKUP(A300,DAY_8[],11,0)</f>
        <v>0</v>
      </c>
    </row>
    <row r="301" spans="1:10" x14ac:dyDescent="0.25">
      <c r="A301" s="2" t="s">
        <v>626</v>
      </c>
      <c r="B301" s="2" t="str">
        <f>VLOOKUP(A301,DAY_8[],2,0)</f>
        <v>FL250300</v>
      </c>
      <c r="C301" t="str">
        <f>VLOOKUP(A301,DAY_8[],3,0)</f>
        <v>FEMALE</v>
      </c>
      <c r="D301">
        <f>VLOOKUP(A301,DAY_8[],4,0)</f>
        <v>41</v>
      </c>
      <c r="E301" t="str">
        <f>VLOOKUP(A301,DAY_8[],5,0)</f>
        <v>NETHERLANDS</v>
      </c>
      <c r="F301" s="5" t="str">
        <f>VLOOKUP(A301,DAY_8[],6,0)</f>
        <v>DUTCH</v>
      </c>
      <c r="G301" s="5" t="str">
        <f>VLOOKUP(A301,DAY_8[],7,0)</f>
        <v>MOBILE APPS</v>
      </c>
      <c r="H301" s="5">
        <f>VLOOKUP(A301,DAY_8[],8,0)</f>
        <v>6</v>
      </c>
      <c r="I301" s="5">
        <f>VLOOKUP(A301,DAY_8[],10,0)</f>
        <v>40</v>
      </c>
      <c r="J301" s="5">
        <f>VLOOKUP(A301,DAY_8[],11,0)</f>
        <v>3.5</v>
      </c>
    </row>
    <row r="302" spans="1:10" x14ac:dyDescent="0.25">
      <c r="A302" s="2" t="s">
        <v>628</v>
      </c>
      <c r="B302" s="2" t="str">
        <f>VLOOKUP(A302,DAY_8[],2,0)</f>
        <v>FL250301</v>
      </c>
      <c r="C302" t="str">
        <f>VLOOKUP(A302,DAY_8[],3,0)</f>
        <v>MALE</v>
      </c>
      <c r="D302">
        <f>VLOOKUP(A302,DAY_8[],4,0)</f>
        <v>46</v>
      </c>
      <c r="E302" t="str">
        <f>VLOOKUP(A302,DAY_8[],5,0)</f>
        <v>INDIA</v>
      </c>
      <c r="F302" s="5" t="str">
        <f>VLOOKUP(A302,DAY_8[],6,0)</f>
        <v>HINDI</v>
      </c>
      <c r="G302" s="5" t="str">
        <f>VLOOKUP(A302,DAY_8[],7,0)</f>
        <v>MACHINE LEARNING</v>
      </c>
      <c r="H302" s="5">
        <f>VLOOKUP(A302,DAY_8[],8,0)</f>
        <v>13</v>
      </c>
      <c r="I302" s="5">
        <f>VLOOKUP(A302,DAY_8[],10,0)</f>
        <v>100</v>
      </c>
      <c r="J302" s="5">
        <f>VLOOKUP(A302,DAY_8[],11,0)</f>
        <v>0</v>
      </c>
    </row>
    <row r="303" spans="1:10" x14ac:dyDescent="0.25">
      <c r="A303" s="2" t="s">
        <v>630</v>
      </c>
      <c r="B303" s="2" t="str">
        <f>VLOOKUP(A303,DAY_8[],2,0)</f>
        <v>FL250302</v>
      </c>
      <c r="C303" t="str">
        <f>VLOOKUP(A303,DAY_8[],3,0)</f>
        <v>MALE</v>
      </c>
      <c r="D303">
        <f>VLOOKUP(A303,DAY_8[],4,0)</f>
        <v>36</v>
      </c>
      <c r="E303" t="str">
        <f>VLOOKUP(A303,DAY_8[],5,0)</f>
        <v>SOUTH AFRICA</v>
      </c>
      <c r="F303" s="5" t="str">
        <f>VLOOKUP(A303,DAY_8[],6,0)</f>
        <v>AFRIKAANS</v>
      </c>
      <c r="G303" s="5" t="str">
        <f>VLOOKUP(A303,DAY_8[],7,0)</f>
        <v>DATA ANALYSIS</v>
      </c>
      <c r="H303" s="5">
        <f>VLOOKUP(A303,DAY_8[],8,0)</f>
        <v>9</v>
      </c>
      <c r="I303" s="5">
        <f>VLOOKUP(A303,DAY_8[],10,0)</f>
        <v>75</v>
      </c>
      <c r="J303" s="5">
        <f>VLOOKUP(A303,DAY_8[],11,0)</f>
        <v>2.2000000000000002</v>
      </c>
    </row>
    <row r="304" spans="1:10" x14ac:dyDescent="0.25">
      <c r="A304" s="2" t="s">
        <v>1071</v>
      </c>
      <c r="B304" s="2" t="str">
        <f>VLOOKUP(A304,DAY_8[],2,0)</f>
        <v>FL250303</v>
      </c>
      <c r="C304" t="str">
        <f>VLOOKUP(A304,DAY_8[],3,0)</f>
        <v>MALE</v>
      </c>
      <c r="D304">
        <f>VLOOKUP(A304,DAY_8[],4,0)</f>
        <v>33</v>
      </c>
      <c r="E304" t="str">
        <f>VLOOKUP(A304,DAY_8[],5,0)</f>
        <v>RUSSIA</v>
      </c>
      <c r="F304" s="5" t="str">
        <f>VLOOKUP(A304,DAY_8[],6,0)</f>
        <v>RUSSIAN</v>
      </c>
      <c r="G304" s="5" t="str">
        <f>VLOOKUP(A304,DAY_8[],7,0)</f>
        <v>WEB DEVELOPMENT</v>
      </c>
      <c r="H304" s="5">
        <f>VLOOKUP(A304,DAY_8[],8,0)</f>
        <v>2</v>
      </c>
      <c r="I304" s="5">
        <f>VLOOKUP(A304,DAY_8[],10,0)</f>
        <v>75</v>
      </c>
      <c r="J304" s="5">
        <f>VLOOKUP(A304,DAY_8[],11,0)</f>
        <v>2.4</v>
      </c>
    </row>
    <row r="305" spans="1:10" x14ac:dyDescent="0.25">
      <c r="A305" s="2" t="s">
        <v>633</v>
      </c>
      <c r="B305" s="2" t="str">
        <f>VLOOKUP(A305,DAY_8[],2,0)</f>
        <v>FL250304</v>
      </c>
      <c r="C305" t="str">
        <f>VLOOKUP(A305,DAY_8[],3,0)</f>
        <v>FEMALE</v>
      </c>
      <c r="D305">
        <f>VLOOKUP(A305,DAY_8[],4,0)</f>
        <v>37</v>
      </c>
      <c r="E305" t="str">
        <f>VLOOKUP(A305,DAY_8[],5,0)</f>
        <v>CANADA</v>
      </c>
      <c r="F305" s="5" t="str">
        <f>VLOOKUP(A305,DAY_8[],6,0)</f>
        <v>ENGLISH</v>
      </c>
      <c r="G305" s="5" t="str">
        <f>VLOOKUP(A305,DAY_8[],7,0)</f>
        <v>GRAPHIC DESIGN</v>
      </c>
      <c r="H305" s="5">
        <f>VLOOKUP(A305,DAY_8[],8,0)</f>
        <v>0</v>
      </c>
      <c r="I305" s="5">
        <f>VLOOKUP(A305,DAY_8[],10,0)</f>
        <v>50</v>
      </c>
      <c r="J305" s="5">
        <f>VLOOKUP(A305,DAY_8[],11,0)</f>
        <v>4.7</v>
      </c>
    </row>
    <row r="306" spans="1:10" x14ac:dyDescent="0.25">
      <c r="A306" s="2" t="s">
        <v>635</v>
      </c>
      <c r="B306" s="2" t="str">
        <f>VLOOKUP(A306,DAY_8[],2,0)</f>
        <v>FL250305</v>
      </c>
      <c r="C306" t="str">
        <f>VLOOKUP(A306,DAY_8[],3,0)</f>
        <v>MALE</v>
      </c>
      <c r="D306">
        <f>VLOOKUP(A306,DAY_8[],4,0)</f>
        <v>20</v>
      </c>
      <c r="E306" t="str">
        <f>VLOOKUP(A306,DAY_8[],5,0)</f>
        <v>EGYPT</v>
      </c>
      <c r="F306" s="5" t="str">
        <f>VLOOKUP(A306,DAY_8[],6,0)</f>
        <v>ARABIC</v>
      </c>
      <c r="G306" s="5" t="str">
        <f>VLOOKUP(A306,DAY_8[],7,0)</f>
        <v>DATA ANALYSIS</v>
      </c>
      <c r="H306" s="5">
        <f>VLOOKUP(A306,DAY_8[],8,0)</f>
        <v>0</v>
      </c>
      <c r="I306" s="5">
        <f>VLOOKUP(A306,DAY_8[],10,0)</f>
        <v>20</v>
      </c>
      <c r="J306" s="5">
        <f>VLOOKUP(A306,DAY_8[],11,0)</f>
        <v>3.9</v>
      </c>
    </row>
    <row r="307" spans="1:10" x14ac:dyDescent="0.25">
      <c r="A307" s="2" t="s">
        <v>637</v>
      </c>
      <c r="B307" s="2" t="str">
        <f>VLOOKUP(A307,DAY_8[],2,0)</f>
        <v>FL250306</v>
      </c>
      <c r="C307" t="str">
        <f>VLOOKUP(A307,DAY_8[],3,0)</f>
        <v>FEMALE</v>
      </c>
      <c r="D307">
        <f>VLOOKUP(A307,DAY_8[],4,0)</f>
        <v>48</v>
      </c>
      <c r="E307" t="str">
        <f>VLOOKUP(A307,DAY_8[],5,0)</f>
        <v>CHINA</v>
      </c>
      <c r="F307" s="5" t="str">
        <f>VLOOKUP(A307,DAY_8[],6,0)</f>
        <v>MANDARIN</v>
      </c>
      <c r="G307" s="5" t="str">
        <f>VLOOKUP(A307,DAY_8[],7,0)</f>
        <v>DATA ANALYSIS</v>
      </c>
      <c r="H307" s="5">
        <f>VLOOKUP(A307,DAY_8[],8,0)</f>
        <v>2</v>
      </c>
      <c r="I307" s="5">
        <f>VLOOKUP(A307,DAY_8[],10,0)</f>
        <v>75</v>
      </c>
      <c r="J307" s="5">
        <f>VLOOKUP(A307,DAY_8[],11,0)</f>
        <v>1.6</v>
      </c>
    </row>
    <row r="308" spans="1:10" x14ac:dyDescent="0.25">
      <c r="A308" s="2" t="s">
        <v>639</v>
      </c>
      <c r="B308" s="2" t="str">
        <f>VLOOKUP(A308,DAY_8[],2,0)</f>
        <v>FL250307</v>
      </c>
      <c r="C308" t="str">
        <f>VLOOKUP(A308,DAY_8[],3,0)</f>
        <v>MALE</v>
      </c>
      <c r="D308">
        <f>VLOOKUP(A308,DAY_8[],4,0)</f>
        <v>27</v>
      </c>
      <c r="E308" t="str">
        <f>VLOOKUP(A308,DAY_8[],5,0)</f>
        <v>FRANCE</v>
      </c>
      <c r="F308" s="5" t="str">
        <f>VLOOKUP(A308,DAY_8[],6,0)</f>
        <v>FRENCH</v>
      </c>
      <c r="G308" s="5" t="str">
        <f>VLOOKUP(A308,DAY_8[],7,0)</f>
        <v>CYBERSECURITY</v>
      </c>
      <c r="H308" s="5">
        <f>VLOOKUP(A308,DAY_8[],8,0)</f>
        <v>2</v>
      </c>
      <c r="I308" s="5">
        <f>VLOOKUP(A308,DAY_8[],10,0)</f>
        <v>50</v>
      </c>
      <c r="J308" s="5">
        <f>VLOOKUP(A308,DAY_8[],11,0)</f>
        <v>2.4</v>
      </c>
    </row>
    <row r="309" spans="1:10" x14ac:dyDescent="0.25">
      <c r="A309" s="2" t="s">
        <v>641</v>
      </c>
      <c r="B309" s="2" t="str">
        <f>VLOOKUP(A309,DAY_8[],2,0)</f>
        <v>FL250308</v>
      </c>
      <c r="C309" t="str">
        <f>VLOOKUP(A309,DAY_8[],3,0)</f>
        <v>MALE</v>
      </c>
      <c r="D309">
        <f>VLOOKUP(A309,DAY_8[],4,0)</f>
        <v>34</v>
      </c>
      <c r="E309" t="str">
        <f>VLOOKUP(A309,DAY_8[],5,0)</f>
        <v>SOUTH KOREA</v>
      </c>
      <c r="F309" s="5" t="str">
        <f>VLOOKUP(A309,DAY_8[],6,0)</f>
        <v>KOREAN</v>
      </c>
      <c r="G309" s="5" t="str">
        <f>VLOOKUP(A309,DAY_8[],7,0)</f>
        <v>MOBILE APPS</v>
      </c>
      <c r="H309" s="5">
        <f>VLOOKUP(A309,DAY_8[],8,0)</f>
        <v>1</v>
      </c>
      <c r="I309" s="5">
        <f>VLOOKUP(A309,DAY_8[],10,0)</f>
        <v>30</v>
      </c>
      <c r="J309" s="5">
        <f>VLOOKUP(A309,DAY_8[],11,0)</f>
        <v>3.6</v>
      </c>
    </row>
    <row r="310" spans="1:10" x14ac:dyDescent="0.25">
      <c r="A310" s="2" t="s">
        <v>643</v>
      </c>
      <c r="B310" s="2" t="str">
        <f>VLOOKUP(A310,DAY_8[],2,0)</f>
        <v>FL250309</v>
      </c>
      <c r="C310" t="str">
        <f>VLOOKUP(A310,DAY_8[],3,0)</f>
        <v>MALE</v>
      </c>
      <c r="D310">
        <f>VLOOKUP(A310,DAY_8[],4,0)</f>
        <v>55</v>
      </c>
      <c r="E310" t="str">
        <f>VLOOKUP(A310,DAY_8[],5,0)</f>
        <v>BRAZIL</v>
      </c>
      <c r="F310" s="5" t="str">
        <f>VLOOKUP(A310,DAY_8[],6,0)</f>
        <v>PORTUGUESE</v>
      </c>
      <c r="G310" s="5" t="str">
        <f>VLOOKUP(A310,DAY_8[],7,0)</f>
        <v>MACHINE LEARNING</v>
      </c>
      <c r="H310" s="5">
        <f>VLOOKUP(A310,DAY_8[],8,0)</f>
        <v>14</v>
      </c>
      <c r="I310" s="5">
        <f>VLOOKUP(A310,DAY_8[],10,0)</f>
        <v>30</v>
      </c>
      <c r="J310" s="5">
        <f>VLOOKUP(A310,DAY_8[],11,0)</f>
        <v>1.2</v>
      </c>
    </row>
    <row r="311" spans="1:10" x14ac:dyDescent="0.25">
      <c r="A311" s="2" t="s">
        <v>645</v>
      </c>
      <c r="B311" s="2" t="str">
        <f>VLOOKUP(A311,DAY_8[],2,0)</f>
        <v>FL250310</v>
      </c>
      <c r="C311" t="str">
        <f>VLOOKUP(A311,DAY_8[],3,0)</f>
        <v>FEMALE</v>
      </c>
      <c r="D311">
        <f>VLOOKUP(A311,DAY_8[],4,0)</f>
        <v>44</v>
      </c>
      <c r="E311" t="str">
        <f>VLOOKUP(A311,DAY_8[],5,0)</f>
        <v>SOUTH AFRICA</v>
      </c>
      <c r="F311" s="5" t="str">
        <f>VLOOKUP(A311,DAY_8[],6,0)</f>
        <v>AFRIKAANS</v>
      </c>
      <c r="G311" s="5" t="str">
        <f>VLOOKUP(A311,DAY_8[],7,0)</f>
        <v>MACHINE LEARNING</v>
      </c>
      <c r="H311" s="5">
        <f>VLOOKUP(A311,DAY_8[],8,0)</f>
        <v>14</v>
      </c>
      <c r="I311" s="5">
        <f>VLOOKUP(A311,DAY_8[],10,0)</f>
        <v>75</v>
      </c>
      <c r="J311" s="5">
        <f>VLOOKUP(A311,DAY_8[],11,0)</f>
        <v>3</v>
      </c>
    </row>
    <row r="312" spans="1:10" x14ac:dyDescent="0.25">
      <c r="A312" s="2" t="s">
        <v>647</v>
      </c>
      <c r="B312" s="2" t="str">
        <f>VLOOKUP(A312,DAY_8[],2,0)</f>
        <v>FL250311</v>
      </c>
      <c r="C312" t="str">
        <f>VLOOKUP(A312,DAY_8[],3,0)</f>
        <v>MALE</v>
      </c>
      <c r="D312">
        <f>VLOOKUP(A312,DAY_8[],4,0)</f>
        <v>31</v>
      </c>
      <c r="E312" t="str">
        <f>VLOOKUP(A312,DAY_8[],5,0)</f>
        <v>NETHERLANDS</v>
      </c>
      <c r="F312" s="5" t="str">
        <f>VLOOKUP(A312,DAY_8[],6,0)</f>
        <v>DUTCH</v>
      </c>
      <c r="G312" s="5" t="str">
        <f>VLOOKUP(A312,DAY_8[],7,0)</f>
        <v>UI/UX DESIGN</v>
      </c>
      <c r="H312" s="5">
        <f>VLOOKUP(A312,DAY_8[],8,0)</f>
        <v>2</v>
      </c>
      <c r="I312" s="5">
        <f>VLOOKUP(A312,DAY_8[],10,0)</f>
        <v>50</v>
      </c>
      <c r="J312" s="5">
        <f>VLOOKUP(A312,DAY_8[],11,0)</f>
        <v>3.9</v>
      </c>
    </row>
    <row r="313" spans="1:10" x14ac:dyDescent="0.25">
      <c r="A313" s="2" t="s">
        <v>649</v>
      </c>
      <c r="B313" s="2" t="str">
        <f>VLOOKUP(A313,DAY_8[],2,0)</f>
        <v>FL250312</v>
      </c>
      <c r="C313" t="str">
        <f>VLOOKUP(A313,DAY_8[],3,0)</f>
        <v>MALE</v>
      </c>
      <c r="D313">
        <f>VLOOKUP(A313,DAY_8[],4,0)</f>
        <v>34</v>
      </c>
      <c r="E313" t="str">
        <f>VLOOKUP(A313,DAY_8[],5,0)</f>
        <v>AUSTRALIA</v>
      </c>
      <c r="F313" s="5" t="str">
        <f>VLOOKUP(A313,DAY_8[],6,0)</f>
        <v>ENGLISH</v>
      </c>
      <c r="G313" s="5" t="str">
        <f>VLOOKUP(A313,DAY_8[],7,0)</f>
        <v>DEVOPS</v>
      </c>
      <c r="H313" s="5">
        <f>VLOOKUP(A313,DAY_8[],8,0)</f>
        <v>1</v>
      </c>
      <c r="I313" s="5">
        <f>VLOOKUP(A313,DAY_8[],10,0)</f>
        <v>40</v>
      </c>
      <c r="J313" s="5">
        <f>VLOOKUP(A313,DAY_8[],11,0)</f>
        <v>1.7</v>
      </c>
    </row>
    <row r="314" spans="1:10" x14ac:dyDescent="0.25">
      <c r="A314" s="2" t="s">
        <v>651</v>
      </c>
      <c r="B314" s="2" t="str">
        <f>VLOOKUP(A314,DAY_8[],2,0)</f>
        <v>FL250313</v>
      </c>
      <c r="C314" t="str">
        <f>VLOOKUP(A314,DAY_8[],3,0)</f>
        <v>FEMALE</v>
      </c>
      <c r="D314">
        <f>VLOOKUP(A314,DAY_8[],4,0)</f>
        <v>47</v>
      </c>
      <c r="E314" t="str">
        <f>VLOOKUP(A314,DAY_8[],5,0)</f>
        <v>BRAZIL</v>
      </c>
      <c r="F314" s="5" t="str">
        <f>VLOOKUP(A314,DAY_8[],6,0)</f>
        <v>PORTUGUESE</v>
      </c>
      <c r="G314" s="5" t="str">
        <f>VLOOKUP(A314,DAY_8[],7,0)</f>
        <v>DEVOPS</v>
      </c>
      <c r="H314" s="5">
        <f>VLOOKUP(A314,DAY_8[],8,0)</f>
        <v>13</v>
      </c>
      <c r="I314" s="5">
        <f>VLOOKUP(A314,DAY_8[],10,0)</f>
        <v>20</v>
      </c>
      <c r="J314" s="5">
        <f>VLOOKUP(A314,DAY_8[],11,0)</f>
        <v>4.5</v>
      </c>
    </row>
    <row r="315" spans="1:10" x14ac:dyDescent="0.25">
      <c r="A315" s="2" t="s">
        <v>653</v>
      </c>
      <c r="B315" s="2" t="str">
        <f>VLOOKUP(A315,DAY_8[],2,0)</f>
        <v>FL250314</v>
      </c>
      <c r="C315" t="str">
        <f>VLOOKUP(A315,DAY_8[],3,0)</f>
        <v>MALE</v>
      </c>
      <c r="D315">
        <f>VLOOKUP(A315,DAY_8[],4,0)</f>
        <v>50</v>
      </c>
      <c r="E315" t="str">
        <f>VLOOKUP(A315,DAY_8[],5,0)</f>
        <v>US</v>
      </c>
      <c r="F315" s="5" t="str">
        <f>VLOOKUP(A315,DAY_8[],6,0)</f>
        <v>ENGLISH</v>
      </c>
      <c r="G315" s="5" t="str">
        <f>VLOOKUP(A315,DAY_8[],7,0)</f>
        <v>GRAPHIC DESIGN</v>
      </c>
      <c r="H315" s="5">
        <f>VLOOKUP(A315,DAY_8[],8,0)</f>
        <v>23</v>
      </c>
      <c r="I315" s="5">
        <f>VLOOKUP(A315,DAY_8[],10,0)</f>
        <v>40</v>
      </c>
      <c r="J315" s="5">
        <f>VLOOKUP(A315,DAY_8[],11,0)</f>
        <v>3.6</v>
      </c>
    </row>
    <row r="316" spans="1:10" x14ac:dyDescent="0.25">
      <c r="A316" s="2" t="s">
        <v>655</v>
      </c>
      <c r="B316" s="2" t="str">
        <f>VLOOKUP(A316,DAY_8[],2,0)</f>
        <v>FL250315</v>
      </c>
      <c r="C316" t="str">
        <f>VLOOKUP(A316,DAY_8[],3,0)</f>
        <v>MALE</v>
      </c>
      <c r="D316">
        <f>VLOOKUP(A316,DAY_8[],4,0)</f>
        <v>39</v>
      </c>
      <c r="E316" t="str">
        <f>VLOOKUP(A316,DAY_8[],5,0)</f>
        <v>GERMANY</v>
      </c>
      <c r="F316" s="5" t="str">
        <f>VLOOKUP(A316,DAY_8[],6,0)</f>
        <v>GERMANY</v>
      </c>
      <c r="G316" s="5" t="str">
        <f>VLOOKUP(A316,DAY_8[],7,0)</f>
        <v>CYBERSECURITY</v>
      </c>
      <c r="H316" s="5">
        <f>VLOOKUP(A316,DAY_8[],8,0)</f>
        <v>10</v>
      </c>
      <c r="I316" s="5">
        <f>VLOOKUP(A316,DAY_8[],10,0)</f>
        <v>75</v>
      </c>
      <c r="J316" s="5">
        <f>VLOOKUP(A316,DAY_8[],11,0)</f>
        <v>3.6</v>
      </c>
    </row>
    <row r="317" spans="1:10" x14ac:dyDescent="0.25">
      <c r="A317" s="2" t="s">
        <v>657</v>
      </c>
      <c r="B317" s="2" t="str">
        <f>VLOOKUP(A317,DAY_8[],2,0)</f>
        <v>FL250316</v>
      </c>
      <c r="C317" t="str">
        <f>VLOOKUP(A317,DAY_8[],3,0)</f>
        <v>FEMALE</v>
      </c>
      <c r="D317">
        <f>VLOOKUP(A317,DAY_8[],4,0)</f>
        <v>26</v>
      </c>
      <c r="E317" t="str">
        <f>VLOOKUP(A317,DAY_8[],5,0)</f>
        <v>ARGENTINA</v>
      </c>
      <c r="F317" s="5" t="str">
        <f>VLOOKUP(A317,DAY_8[],6,0)</f>
        <v>SPANISH</v>
      </c>
      <c r="G317" s="5" t="str">
        <f>VLOOKUP(A317,DAY_8[],7,0)</f>
        <v>BLOCKCHAIN DEVELOPMENT</v>
      </c>
      <c r="H317" s="5">
        <f>VLOOKUP(A317,DAY_8[],8,0)</f>
        <v>3</v>
      </c>
      <c r="I317" s="5">
        <f>VLOOKUP(A317,DAY_8[],10,0)</f>
        <v>100</v>
      </c>
      <c r="J317" s="5">
        <f>VLOOKUP(A317,DAY_8[],11,0)</f>
        <v>2.8</v>
      </c>
    </row>
    <row r="318" spans="1:10" x14ac:dyDescent="0.25">
      <c r="A318" s="2" t="s">
        <v>659</v>
      </c>
      <c r="B318" s="2" t="str">
        <f>VLOOKUP(A318,DAY_8[],2,0)</f>
        <v>FL250317</v>
      </c>
      <c r="C318" t="str">
        <f>VLOOKUP(A318,DAY_8[],3,0)</f>
        <v>MALE</v>
      </c>
      <c r="D318">
        <f>VLOOKUP(A318,DAY_8[],4,0)</f>
        <v>41</v>
      </c>
      <c r="E318" t="str">
        <f>VLOOKUP(A318,DAY_8[],5,0)</f>
        <v>NETHERLANDS</v>
      </c>
      <c r="F318" s="5" t="str">
        <f>VLOOKUP(A318,DAY_8[],6,0)</f>
        <v>DUTCH</v>
      </c>
      <c r="G318" s="5" t="str">
        <f>VLOOKUP(A318,DAY_8[],7,0)</f>
        <v>DEVOPS</v>
      </c>
      <c r="H318" s="5">
        <f>VLOOKUP(A318,DAY_8[],8,0)</f>
        <v>0</v>
      </c>
      <c r="I318" s="5">
        <f>VLOOKUP(A318,DAY_8[],10,0)</f>
        <v>100</v>
      </c>
      <c r="J318" s="5">
        <f>VLOOKUP(A318,DAY_8[],11,0)</f>
        <v>5</v>
      </c>
    </row>
    <row r="319" spans="1:10" x14ac:dyDescent="0.25">
      <c r="A319" s="2" t="s">
        <v>661</v>
      </c>
      <c r="B319" s="2" t="str">
        <f>VLOOKUP(A319,DAY_8[],2,0)</f>
        <v>FL250318</v>
      </c>
      <c r="C319" t="str">
        <f>VLOOKUP(A319,DAY_8[],3,0)</f>
        <v>MALE</v>
      </c>
      <c r="D319">
        <f>VLOOKUP(A319,DAY_8[],4,0)</f>
        <v>32</v>
      </c>
      <c r="E319" t="str">
        <f>VLOOKUP(A319,DAY_8[],5,0)</f>
        <v>GERMANY</v>
      </c>
      <c r="F319" s="5" t="str">
        <f>VLOOKUP(A319,DAY_8[],6,0)</f>
        <v>GERMANY</v>
      </c>
      <c r="G319" s="5" t="str">
        <f>VLOOKUP(A319,DAY_8[],7,0)</f>
        <v>GRAPHIC DESIGN</v>
      </c>
      <c r="H319" s="5">
        <f>VLOOKUP(A319,DAY_8[],8,0)</f>
        <v>0</v>
      </c>
      <c r="I319" s="5">
        <f>VLOOKUP(A319,DAY_8[],10,0)</f>
        <v>100</v>
      </c>
      <c r="J319" s="5">
        <f>VLOOKUP(A319,DAY_8[],11,0)</f>
        <v>1.4</v>
      </c>
    </row>
    <row r="320" spans="1:10" x14ac:dyDescent="0.25">
      <c r="A320" s="2" t="s">
        <v>663</v>
      </c>
      <c r="B320" s="2" t="str">
        <f>VLOOKUP(A320,DAY_8[],2,0)</f>
        <v>FL250319</v>
      </c>
      <c r="C320" t="str">
        <f>VLOOKUP(A320,DAY_8[],3,0)</f>
        <v>FEMALE</v>
      </c>
      <c r="D320">
        <f>VLOOKUP(A320,DAY_8[],4,0)</f>
        <v>55</v>
      </c>
      <c r="E320" t="str">
        <f>VLOOKUP(A320,DAY_8[],5,0)</f>
        <v>RUSSIA</v>
      </c>
      <c r="F320" s="5" t="str">
        <f>VLOOKUP(A320,DAY_8[],6,0)</f>
        <v>RUSSIAN</v>
      </c>
      <c r="G320" s="5" t="str">
        <f>VLOOKUP(A320,DAY_8[],7,0)</f>
        <v>DATA ANALYSIS</v>
      </c>
      <c r="H320" s="5">
        <f>VLOOKUP(A320,DAY_8[],8,0)</f>
        <v>17</v>
      </c>
      <c r="I320" s="5">
        <f>VLOOKUP(A320,DAY_8[],10,0)</f>
        <v>30</v>
      </c>
      <c r="J320" s="5">
        <f>VLOOKUP(A320,DAY_8[],11,0)</f>
        <v>2.4</v>
      </c>
    </row>
    <row r="321" spans="1:10" x14ac:dyDescent="0.25">
      <c r="A321" s="2" t="s">
        <v>665</v>
      </c>
      <c r="B321" s="2" t="str">
        <f>VLOOKUP(A321,DAY_8[],2,0)</f>
        <v>FL250320</v>
      </c>
      <c r="C321" t="str">
        <f>VLOOKUP(A321,DAY_8[],3,0)</f>
        <v>MALE</v>
      </c>
      <c r="D321">
        <f>VLOOKUP(A321,DAY_8[],4,0)</f>
        <v>32</v>
      </c>
      <c r="E321" t="str">
        <f>VLOOKUP(A321,DAY_8[],5,0)</f>
        <v>ARGENTINA</v>
      </c>
      <c r="F321" s="5" t="str">
        <f>VLOOKUP(A321,DAY_8[],6,0)</f>
        <v>SPANISH</v>
      </c>
      <c r="G321" s="5" t="str">
        <f>VLOOKUP(A321,DAY_8[],7,0)</f>
        <v>MACHINE LEARNING</v>
      </c>
      <c r="H321" s="5">
        <f>VLOOKUP(A321,DAY_8[],8,0)</f>
        <v>9</v>
      </c>
      <c r="I321" s="5">
        <f>VLOOKUP(A321,DAY_8[],10,0)</f>
        <v>40</v>
      </c>
      <c r="J321" s="5">
        <f>VLOOKUP(A321,DAY_8[],11,0)</f>
        <v>4.5999999999999996</v>
      </c>
    </row>
    <row r="322" spans="1:10" x14ac:dyDescent="0.25">
      <c r="A322" s="2" t="s">
        <v>667</v>
      </c>
      <c r="B322" s="2" t="str">
        <f>VLOOKUP(A322,DAY_8[],2,0)</f>
        <v>FL250321</v>
      </c>
      <c r="C322" t="str">
        <f>VLOOKUP(A322,DAY_8[],3,0)</f>
        <v>MALE</v>
      </c>
      <c r="D322">
        <f>VLOOKUP(A322,DAY_8[],4,0)</f>
        <v>30</v>
      </c>
      <c r="E322" t="str">
        <f>VLOOKUP(A322,DAY_8[],5,0)</f>
        <v>SOUTH KOREA</v>
      </c>
      <c r="F322" s="5" t="str">
        <f>VLOOKUP(A322,DAY_8[],6,0)</f>
        <v>KOREAN</v>
      </c>
      <c r="G322" s="5" t="str">
        <f>VLOOKUP(A322,DAY_8[],7,0)</f>
        <v>BLOCKCHAIN DEVELOPMENT</v>
      </c>
      <c r="H322" s="5">
        <f>VLOOKUP(A322,DAY_8[],8,0)</f>
        <v>4</v>
      </c>
      <c r="I322" s="5">
        <f>VLOOKUP(A322,DAY_8[],10,0)</f>
        <v>20</v>
      </c>
      <c r="J322" s="5">
        <f>VLOOKUP(A322,DAY_8[],11,0)</f>
        <v>3.3</v>
      </c>
    </row>
    <row r="323" spans="1:10" x14ac:dyDescent="0.25">
      <c r="A323" s="2" t="s">
        <v>669</v>
      </c>
      <c r="B323" s="2" t="str">
        <f>VLOOKUP(A323,DAY_8[],2,0)</f>
        <v>FL250322</v>
      </c>
      <c r="C323" t="str">
        <f>VLOOKUP(A323,DAY_8[],3,0)</f>
        <v>FEMALE</v>
      </c>
      <c r="D323">
        <f>VLOOKUP(A323,DAY_8[],4,0)</f>
        <v>37</v>
      </c>
      <c r="E323" t="str">
        <f>VLOOKUP(A323,DAY_8[],5,0)</f>
        <v>CANADA</v>
      </c>
      <c r="F323" s="5" t="str">
        <f>VLOOKUP(A323,DAY_8[],6,0)</f>
        <v>ENGLISH</v>
      </c>
      <c r="G323" s="5" t="str">
        <f>VLOOKUP(A323,DAY_8[],7,0)</f>
        <v>CYBERSECURITY</v>
      </c>
      <c r="H323" s="5">
        <f>VLOOKUP(A323,DAY_8[],8,0)</f>
        <v>0</v>
      </c>
      <c r="I323" s="5">
        <f>VLOOKUP(A323,DAY_8[],10,0)</f>
        <v>40</v>
      </c>
      <c r="J323" s="5">
        <f>VLOOKUP(A323,DAY_8[],11,0)</f>
        <v>3.7</v>
      </c>
    </row>
    <row r="324" spans="1:10" x14ac:dyDescent="0.25">
      <c r="A324" s="2" t="s">
        <v>671</v>
      </c>
      <c r="B324" s="2" t="str">
        <f>VLOOKUP(A324,DAY_8[],2,0)</f>
        <v>FL250323</v>
      </c>
      <c r="C324" t="str">
        <f>VLOOKUP(A324,DAY_8[],3,0)</f>
        <v>MALE</v>
      </c>
      <c r="D324">
        <f>VLOOKUP(A324,DAY_8[],4,0)</f>
        <v>52</v>
      </c>
      <c r="E324" t="str">
        <f>VLOOKUP(A324,DAY_8[],5,0)</f>
        <v>BRAZIL</v>
      </c>
      <c r="F324" s="5" t="str">
        <f>VLOOKUP(A324,DAY_8[],6,0)</f>
        <v>PORTUGUESE</v>
      </c>
      <c r="G324" s="5" t="str">
        <f>VLOOKUP(A324,DAY_8[],7,0)</f>
        <v>GRAPHIC DESIGN</v>
      </c>
      <c r="H324" s="5">
        <f>VLOOKUP(A324,DAY_8[],8,0)</f>
        <v>33</v>
      </c>
      <c r="I324" s="5">
        <f>VLOOKUP(A324,DAY_8[],10,0)</f>
        <v>70</v>
      </c>
      <c r="J324" s="5">
        <f>VLOOKUP(A324,DAY_8[],11,0)</f>
        <v>0</v>
      </c>
    </row>
    <row r="325" spans="1:10" x14ac:dyDescent="0.25">
      <c r="A325" s="2" t="s">
        <v>673</v>
      </c>
      <c r="B325" s="2" t="str">
        <f>VLOOKUP(A325,DAY_8[],2,0)</f>
        <v>FL250324</v>
      </c>
      <c r="C325" t="str">
        <f>VLOOKUP(A325,DAY_8[],3,0)</f>
        <v>MALE</v>
      </c>
      <c r="D325">
        <f>VLOOKUP(A325,DAY_8[],4,0)</f>
        <v>48</v>
      </c>
      <c r="E325" t="str">
        <f>VLOOKUP(A325,DAY_8[],5,0)</f>
        <v>INDIA</v>
      </c>
      <c r="F325" s="5" t="str">
        <f>VLOOKUP(A325,DAY_8[],6,0)</f>
        <v>HINDI</v>
      </c>
      <c r="G325" s="5" t="str">
        <f>VLOOKUP(A325,DAY_8[],7,0)</f>
        <v>CYBERSECURITY</v>
      </c>
      <c r="H325" s="5">
        <f>VLOOKUP(A325,DAY_8[],8,0)</f>
        <v>18</v>
      </c>
      <c r="I325" s="5">
        <f>VLOOKUP(A325,DAY_8[],10,0)</f>
        <v>50</v>
      </c>
      <c r="J325" s="5">
        <f>VLOOKUP(A325,DAY_8[],11,0)</f>
        <v>0</v>
      </c>
    </row>
    <row r="326" spans="1:10" x14ac:dyDescent="0.25">
      <c r="A326" s="2" t="s">
        <v>675</v>
      </c>
      <c r="B326" s="2" t="str">
        <f>VLOOKUP(A326,DAY_8[],2,0)</f>
        <v>FL250325</v>
      </c>
      <c r="C326" t="str">
        <f>VLOOKUP(A326,DAY_8[],3,0)</f>
        <v>FEMALE</v>
      </c>
      <c r="D326">
        <f>VLOOKUP(A326,DAY_8[],4,0)</f>
        <v>28</v>
      </c>
      <c r="E326" t="str">
        <f>VLOOKUP(A326,DAY_8[],5,0)</f>
        <v>JAPAN</v>
      </c>
      <c r="F326" s="5" t="str">
        <f>VLOOKUP(A326,DAY_8[],6,0)</f>
        <v>JAPANESE</v>
      </c>
      <c r="G326" s="5" t="str">
        <f>VLOOKUP(A326,DAY_8[],7,0)</f>
        <v>MOBILE APPS</v>
      </c>
      <c r="H326" s="5">
        <f>VLOOKUP(A326,DAY_8[],8,0)</f>
        <v>9</v>
      </c>
      <c r="I326" s="5">
        <f>VLOOKUP(A326,DAY_8[],10,0)</f>
        <v>40</v>
      </c>
      <c r="J326" s="5">
        <f>VLOOKUP(A326,DAY_8[],11,0)</f>
        <v>2.4</v>
      </c>
    </row>
    <row r="327" spans="1:10" x14ac:dyDescent="0.25">
      <c r="A327" s="2" t="s">
        <v>677</v>
      </c>
      <c r="B327" s="2" t="str">
        <f>VLOOKUP(A327,DAY_8[],2,0)</f>
        <v>FL250326</v>
      </c>
      <c r="C327" t="str">
        <f>VLOOKUP(A327,DAY_8[],3,0)</f>
        <v>FEMALE</v>
      </c>
      <c r="D327">
        <f>VLOOKUP(A327,DAY_8[],4,0)</f>
        <v>58</v>
      </c>
      <c r="E327" t="str">
        <f>VLOOKUP(A327,DAY_8[],5,0)</f>
        <v>SPAIN</v>
      </c>
      <c r="F327" s="5" t="str">
        <f>VLOOKUP(A327,DAY_8[],6,0)</f>
        <v>SPANISH</v>
      </c>
      <c r="G327" s="5" t="str">
        <f>VLOOKUP(A327,DAY_8[],7,0)</f>
        <v>DATA ANALYSIS</v>
      </c>
      <c r="H327" s="5">
        <f>VLOOKUP(A327,DAY_8[],8,0)</f>
        <v>40</v>
      </c>
      <c r="I327" s="5">
        <f>VLOOKUP(A327,DAY_8[],10,0)</f>
        <v>75</v>
      </c>
      <c r="J327" s="5">
        <f>VLOOKUP(A327,DAY_8[],11,0)</f>
        <v>3.4</v>
      </c>
    </row>
    <row r="328" spans="1:10" x14ac:dyDescent="0.25">
      <c r="A328" s="2" t="s">
        <v>679</v>
      </c>
      <c r="B328" s="2" t="str">
        <f>VLOOKUP(A328,DAY_8[],2,0)</f>
        <v>FL250327</v>
      </c>
      <c r="C328" t="str">
        <f>VLOOKUP(A328,DAY_8[],3,0)</f>
        <v>MALE</v>
      </c>
      <c r="D328">
        <f>VLOOKUP(A328,DAY_8[],4,0)</f>
        <v>30</v>
      </c>
      <c r="E328" t="str">
        <f>VLOOKUP(A328,DAY_8[],5,0)</f>
        <v>ARGENTINA</v>
      </c>
      <c r="F328" s="5" t="str">
        <f>VLOOKUP(A328,DAY_8[],6,0)</f>
        <v>SPANISH</v>
      </c>
      <c r="G328" s="5" t="str">
        <f>VLOOKUP(A328,DAY_8[],7,0)</f>
        <v>WEB DEVELOPMENT</v>
      </c>
      <c r="H328" s="5">
        <f>VLOOKUP(A328,DAY_8[],8,0)</f>
        <v>1</v>
      </c>
      <c r="I328" s="5">
        <f>VLOOKUP(A328,DAY_8[],10,0)</f>
        <v>40</v>
      </c>
      <c r="J328" s="5">
        <f>VLOOKUP(A328,DAY_8[],11,0)</f>
        <v>1.6</v>
      </c>
    </row>
    <row r="329" spans="1:10" x14ac:dyDescent="0.25">
      <c r="A329" s="2" t="s">
        <v>681</v>
      </c>
      <c r="B329" s="2" t="str">
        <f>VLOOKUP(A329,DAY_8[],2,0)</f>
        <v>FL250328</v>
      </c>
      <c r="C329" t="str">
        <f>VLOOKUP(A329,DAY_8[],3,0)</f>
        <v>FEMALE</v>
      </c>
      <c r="D329">
        <f>VLOOKUP(A329,DAY_8[],4,0)</f>
        <v>47</v>
      </c>
      <c r="E329" t="str">
        <f>VLOOKUP(A329,DAY_8[],5,0)</f>
        <v>CHINA</v>
      </c>
      <c r="F329" s="5" t="str">
        <f>VLOOKUP(A329,DAY_8[],6,0)</f>
        <v>MANDARIN</v>
      </c>
      <c r="G329" s="5" t="str">
        <f>VLOOKUP(A329,DAY_8[],7,0)</f>
        <v>MOBILE APPS</v>
      </c>
      <c r="H329" s="5">
        <f>VLOOKUP(A329,DAY_8[],8,0)</f>
        <v>5</v>
      </c>
      <c r="I329" s="5">
        <f>VLOOKUP(A329,DAY_8[],10,0)</f>
        <v>20</v>
      </c>
      <c r="J329" s="5">
        <f>VLOOKUP(A329,DAY_8[],11,0)</f>
        <v>1.9</v>
      </c>
    </row>
    <row r="330" spans="1:10" x14ac:dyDescent="0.25">
      <c r="A330" s="2" t="s">
        <v>683</v>
      </c>
      <c r="B330" s="2" t="str">
        <f>VLOOKUP(A330,DAY_8[],2,0)</f>
        <v>FL250329</v>
      </c>
      <c r="C330" t="str">
        <f>VLOOKUP(A330,DAY_8[],3,0)</f>
        <v>MALE</v>
      </c>
      <c r="D330">
        <f>VLOOKUP(A330,DAY_8[],4,0)</f>
        <v>44</v>
      </c>
      <c r="E330" t="str">
        <f>VLOOKUP(A330,DAY_8[],5,0)</f>
        <v>ARGENTINA</v>
      </c>
      <c r="F330" s="5" t="str">
        <f>VLOOKUP(A330,DAY_8[],6,0)</f>
        <v>SPANISH</v>
      </c>
      <c r="G330" s="5" t="str">
        <f>VLOOKUP(A330,DAY_8[],7,0)</f>
        <v>AI</v>
      </c>
      <c r="H330" s="5">
        <f>VLOOKUP(A330,DAY_8[],8,0)</f>
        <v>4</v>
      </c>
      <c r="I330" s="5">
        <f>VLOOKUP(A330,DAY_8[],10,0)</f>
        <v>50</v>
      </c>
      <c r="J330" s="5">
        <f>VLOOKUP(A330,DAY_8[],11,0)</f>
        <v>0</v>
      </c>
    </row>
    <row r="331" spans="1:10" x14ac:dyDescent="0.25">
      <c r="A331" s="2" t="s">
        <v>685</v>
      </c>
      <c r="B331" s="2" t="str">
        <f>VLOOKUP(A331,DAY_8[],2,0)</f>
        <v>FL250330</v>
      </c>
      <c r="C331" t="str">
        <f>VLOOKUP(A331,DAY_8[],3,0)</f>
        <v>MALE</v>
      </c>
      <c r="D331">
        <f>VLOOKUP(A331,DAY_8[],4,0)</f>
        <v>56</v>
      </c>
      <c r="E331" t="str">
        <f>VLOOKUP(A331,DAY_8[],5,0)</f>
        <v>ITALY</v>
      </c>
      <c r="F331" s="5" t="str">
        <f>VLOOKUP(A331,DAY_8[],6,0)</f>
        <v>ITALIAN</v>
      </c>
      <c r="G331" s="5" t="str">
        <f>VLOOKUP(A331,DAY_8[],7,0)</f>
        <v>MACHINE LEARNING</v>
      </c>
      <c r="H331" s="5">
        <f>VLOOKUP(A331,DAY_8[],8,0)</f>
        <v>13</v>
      </c>
      <c r="I331" s="5">
        <f>VLOOKUP(A331,DAY_8[],10,0)</f>
        <v>40</v>
      </c>
      <c r="J331" s="5">
        <f>VLOOKUP(A331,DAY_8[],11,0)</f>
        <v>2.4</v>
      </c>
    </row>
    <row r="332" spans="1:10" x14ac:dyDescent="0.25">
      <c r="A332" s="2" t="s">
        <v>687</v>
      </c>
      <c r="B332" s="2" t="str">
        <f>VLOOKUP(A332,DAY_8[],2,0)</f>
        <v>FL250331</v>
      </c>
      <c r="C332" t="str">
        <f>VLOOKUP(A332,DAY_8[],3,0)</f>
        <v>FEMALE</v>
      </c>
      <c r="D332">
        <f>VLOOKUP(A332,DAY_8[],4,0)</f>
        <v>53</v>
      </c>
      <c r="E332" t="str">
        <f>VLOOKUP(A332,DAY_8[],5,0)</f>
        <v>US</v>
      </c>
      <c r="F332" s="5" t="str">
        <f>VLOOKUP(A332,DAY_8[],6,0)</f>
        <v>ENGLISH</v>
      </c>
      <c r="G332" s="5" t="str">
        <f>VLOOKUP(A332,DAY_8[],7,0)</f>
        <v>MOBILE APPS</v>
      </c>
      <c r="H332" s="5">
        <f>VLOOKUP(A332,DAY_8[],8,0)</f>
        <v>33</v>
      </c>
      <c r="I332" s="5">
        <f>VLOOKUP(A332,DAY_8[],10,0)</f>
        <v>100</v>
      </c>
      <c r="J332" s="5">
        <f>VLOOKUP(A332,DAY_8[],11,0)</f>
        <v>2.4</v>
      </c>
    </row>
    <row r="333" spans="1:10" x14ac:dyDescent="0.25">
      <c r="A333" s="2" t="s">
        <v>689</v>
      </c>
      <c r="B333" s="2" t="str">
        <f>VLOOKUP(A333,DAY_8[],2,0)</f>
        <v>FL250332</v>
      </c>
      <c r="C333" t="str">
        <f>VLOOKUP(A333,DAY_8[],3,0)</f>
        <v>MALE</v>
      </c>
      <c r="D333">
        <f>VLOOKUP(A333,DAY_8[],4,0)</f>
        <v>59</v>
      </c>
      <c r="E333" t="str">
        <f>VLOOKUP(A333,DAY_8[],5,0)</f>
        <v>UK</v>
      </c>
      <c r="F333" s="5" t="str">
        <f>VLOOKUP(A333,DAY_8[],6,0)</f>
        <v>ENGLISH</v>
      </c>
      <c r="G333" s="5" t="str">
        <f>VLOOKUP(A333,DAY_8[],7,0)</f>
        <v>MOBILE APPS</v>
      </c>
      <c r="H333" s="5">
        <f>VLOOKUP(A333,DAY_8[],8,0)</f>
        <v>22</v>
      </c>
      <c r="I333" s="5">
        <f>VLOOKUP(A333,DAY_8[],10,0)</f>
        <v>40</v>
      </c>
      <c r="J333" s="5">
        <f>VLOOKUP(A333,DAY_8[],11,0)</f>
        <v>1.1000000000000001</v>
      </c>
    </row>
    <row r="334" spans="1:10" x14ac:dyDescent="0.25">
      <c r="A334" s="2" t="s">
        <v>691</v>
      </c>
      <c r="B334" s="2" t="str">
        <f>VLOOKUP(A334,DAY_8[],2,0)</f>
        <v>FL250333</v>
      </c>
      <c r="C334" t="str">
        <f>VLOOKUP(A334,DAY_8[],3,0)</f>
        <v>MALE</v>
      </c>
      <c r="D334">
        <f>VLOOKUP(A334,DAY_8[],4,0)</f>
        <v>60</v>
      </c>
      <c r="E334" t="str">
        <f>VLOOKUP(A334,DAY_8[],5,0)</f>
        <v>US</v>
      </c>
      <c r="F334" s="5" t="str">
        <f>VLOOKUP(A334,DAY_8[],6,0)</f>
        <v>ENGLISH</v>
      </c>
      <c r="G334" s="5" t="str">
        <f>VLOOKUP(A334,DAY_8[],7,0)</f>
        <v>DEVOPS</v>
      </c>
      <c r="H334" s="5">
        <f>VLOOKUP(A334,DAY_8[],8,0)</f>
        <v>34</v>
      </c>
      <c r="I334" s="5">
        <f>VLOOKUP(A334,DAY_8[],10,0)</f>
        <v>70</v>
      </c>
      <c r="J334" s="5">
        <f>VLOOKUP(A334,DAY_8[],11,0)</f>
        <v>2.4</v>
      </c>
    </row>
    <row r="335" spans="1:10" x14ac:dyDescent="0.25">
      <c r="A335" s="2" t="s">
        <v>693</v>
      </c>
      <c r="B335" s="2" t="str">
        <f>VLOOKUP(A335,DAY_8[],2,0)</f>
        <v>FL250334</v>
      </c>
      <c r="C335" t="str">
        <f>VLOOKUP(A335,DAY_8[],3,0)</f>
        <v>FEMALE</v>
      </c>
      <c r="D335">
        <f>VLOOKUP(A335,DAY_8[],4,0)</f>
        <v>33</v>
      </c>
      <c r="E335" t="str">
        <f>VLOOKUP(A335,DAY_8[],5,0)</f>
        <v>GERMANY</v>
      </c>
      <c r="F335" s="5" t="str">
        <f>VLOOKUP(A335,DAY_8[],6,0)</f>
        <v>GERMANY</v>
      </c>
      <c r="G335" s="5" t="str">
        <f>VLOOKUP(A335,DAY_8[],7,0)</f>
        <v>MOBILE APPS</v>
      </c>
      <c r="H335" s="5">
        <f>VLOOKUP(A335,DAY_8[],8,0)</f>
        <v>8</v>
      </c>
      <c r="I335" s="5">
        <f>VLOOKUP(A335,DAY_8[],10,0)</f>
        <v>30</v>
      </c>
      <c r="J335" s="5">
        <f>VLOOKUP(A335,DAY_8[],11,0)</f>
        <v>3.6</v>
      </c>
    </row>
    <row r="336" spans="1:10" x14ac:dyDescent="0.25">
      <c r="A336" s="2" t="s">
        <v>695</v>
      </c>
      <c r="B336" s="2" t="str">
        <f>VLOOKUP(A336,DAY_8[],2,0)</f>
        <v>FL250335</v>
      </c>
      <c r="C336" t="str">
        <f>VLOOKUP(A336,DAY_8[],3,0)</f>
        <v>FEMALE</v>
      </c>
      <c r="D336">
        <f>VLOOKUP(A336,DAY_8[],4,0)</f>
        <v>21</v>
      </c>
      <c r="E336" t="str">
        <f>VLOOKUP(A336,DAY_8[],5,0)</f>
        <v>ARGENTINA</v>
      </c>
      <c r="F336" s="5" t="str">
        <f>VLOOKUP(A336,DAY_8[],6,0)</f>
        <v>SPANISH</v>
      </c>
      <c r="G336" s="5" t="str">
        <f>VLOOKUP(A336,DAY_8[],7,0)</f>
        <v>WEB DEVELOPMENT</v>
      </c>
      <c r="H336" s="5">
        <f>VLOOKUP(A336,DAY_8[],8,0)</f>
        <v>1</v>
      </c>
      <c r="I336" s="5">
        <f>VLOOKUP(A336,DAY_8[],10,0)</f>
        <v>20</v>
      </c>
      <c r="J336" s="5">
        <f>VLOOKUP(A336,DAY_8[],11,0)</f>
        <v>2.4</v>
      </c>
    </row>
    <row r="337" spans="1:10" x14ac:dyDescent="0.25">
      <c r="A337" s="2" t="s">
        <v>697</v>
      </c>
      <c r="B337" s="2" t="str">
        <f>VLOOKUP(A337,DAY_8[],2,0)</f>
        <v>FL250336</v>
      </c>
      <c r="C337" t="str">
        <f>VLOOKUP(A337,DAY_8[],3,0)</f>
        <v>MALE</v>
      </c>
      <c r="D337">
        <f>VLOOKUP(A337,DAY_8[],4,0)</f>
        <v>54</v>
      </c>
      <c r="E337" t="str">
        <f>VLOOKUP(A337,DAY_8[],5,0)</f>
        <v>UK</v>
      </c>
      <c r="F337" s="5" t="str">
        <f>VLOOKUP(A337,DAY_8[],6,0)</f>
        <v>ENGLISH</v>
      </c>
      <c r="G337" s="5" t="str">
        <f>VLOOKUP(A337,DAY_8[],7,0)</f>
        <v>UI/UX DESIGN</v>
      </c>
      <c r="H337" s="5">
        <f>VLOOKUP(A337,DAY_8[],8,0)</f>
        <v>20</v>
      </c>
      <c r="I337" s="5">
        <f>VLOOKUP(A337,DAY_8[],10,0)</f>
        <v>50</v>
      </c>
      <c r="J337" s="5">
        <f>VLOOKUP(A337,DAY_8[],11,0)</f>
        <v>4.4000000000000004</v>
      </c>
    </row>
    <row r="338" spans="1:10" x14ac:dyDescent="0.25">
      <c r="A338" s="2" t="s">
        <v>699</v>
      </c>
      <c r="B338" s="2" t="str">
        <f>VLOOKUP(A338,DAY_8[],2,0)</f>
        <v>FL250337</v>
      </c>
      <c r="C338" t="str">
        <f>VLOOKUP(A338,DAY_8[],3,0)</f>
        <v>FEMALE</v>
      </c>
      <c r="D338">
        <f>VLOOKUP(A338,DAY_8[],4,0)</f>
        <v>33</v>
      </c>
      <c r="E338" t="str">
        <f>VLOOKUP(A338,DAY_8[],5,0)</f>
        <v>US</v>
      </c>
      <c r="F338" s="5" t="str">
        <f>VLOOKUP(A338,DAY_8[],6,0)</f>
        <v>ENGLISH</v>
      </c>
      <c r="G338" s="5" t="str">
        <f>VLOOKUP(A338,DAY_8[],7,0)</f>
        <v>GRAPHIC DESIGN</v>
      </c>
      <c r="H338" s="5">
        <f>VLOOKUP(A338,DAY_8[],8,0)</f>
        <v>11</v>
      </c>
      <c r="I338" s="5">
        <f>VLOOKUP(A338,DAY_8[],10,0)</f>
        <v>75</v>
      </c>
      <c r="J338" s="5">
        <f>VLOOKUP(A338,DAY_8[],11,0)</f>
        <v>2.1</v>
      </c>
    </row>
    <row r="339" spans="1:10" x14ac:dyDescent="0.25">
      <c r="A339" s="2" t="s">
        <v>701</v>
      </c>
      <c r="B339" s="2" t="str">
        <f>VLOOKUP(A339,DAY_8[],2,0)</f>
        <v>FL250338</v>
      </c>
      <c r="C339" t="str">
        <f>VLOOKUP(A339,DAY_8[],3,0)</f>
        <v>FEMALE</v>
      </c>
      <c r="D339">
        <f>VLOOKUP(A339,DAY_8[],4,0)</f>
        <v>57</v>
      </c>
      <c r="E339" t="str">
        <f>VLOOKUP(A339,DAY_8[],5,0)</f>
        <v>TURKEY</v>
      </c>
      <c r="F339" s="5" t="str">
        <f>VLOOKUP(A339,DAY_8[],6,0)</f>
        <v>TURKISH</v>
      </c>
      <c r="G339" s="5" t="str">
        <f>VLOOKUP(A339,DAY_8[],7,0)</f>
        <v>DATA ANALYSIS</v>
      </c>
      <c r="H339" s="5">
        <f>VLOOKUP(A339,DAY_8[],8,0)</f>
        <v>2</v>
      </c>
      <c r="I339" s="5">
        <f>VLOOKUP(A339,DAY_8[],10,0)</f>
        <v>40</v>
      </c>
      <c r="J339" s="5">
        <f>VLOOKUP(A339,DAY_8[],11,0)</f>
        <v>0</v>
      </c>
    </row>
    <row r="340" spans="1:10" x14ac:dyDescent="0.25">
      <c r="A340" s="2" t="s">
        <v>703</v>
      </c>
      <c r="B340" s="2" t="str">
        <f>VLOOKUP(A340,DAY_8[],2,0)</f>
        <v>FL250339</v>
      </c>
      <c r="C340" t="str">
        <f>VLOOKUP(A340,DAY_8[],3,0)</f>
        <v>MALE</v>
      </c>
      <c r="D340">
        <f>VLOOKUP(A340,DAY_8[],4,0)</f>
        <v>36</v>
      </c>
      <c r="E340" t="str">
        <f>VLOOKUP(A340,DAY_8[],5,0)</f>
        <v>SOUTH KOREA</v>
      </c>
      <c r="F340" s="5" t="str">
        <f>VLOOKUP(A340,DAY_8[],6,0)</f>
        <v>KOREAN</v>
      </c>
      <c r="G340" s="5" t="str">
        <f>VLOOKUP(A340,DAY_8[],7,0)</f>
        <v>GRAPHIC DESIGN</v>
      </c>
      <c r="H340" s="5">
        <f>VLOOKUP(A340,DAY_8[],8,0)</f>
        <v>6</v>
      </c>
      <c r="I340" s="5">
        <f>VLOOKUP(A340,DAY_8[],10,0)</f>
        <v>20</v>
      </c>
      <c r="J340" s="5">
        <f>VLOOKUP(A340,DAY_8[],11,0)</f>
        <v>1</v>
      </c>
    </row>
    <row r="341" spans="1:10" x14ac:dyDescent="0.25">
      <c r="A341" s="2" t="s">
        <v>705</v>
      </c>
      <c r="B341" s="2" t="str">
        <f>VLOOKUP(A341,DAY_8[],2,0)</f>
        <v>FL250340</v>
      </c>
      <c r="C341" t="str">
        <f>VLOOKUP(A341,DAY_8[],3,0)</f>
        <v>MALE</v>
      </c>
      <c r="D341">
        <f>VLOOKUP(A341,DAY_8[],4,0)</f>
        <v>50</v>
      </c>
      <c r="E341" t="str">
        <f>VLOOKUP(A341,DAY_8[],5,0)</f>
        <v>GERMANY</v>
      </c>
      <c r="F341" s="5" t="str">
        <f>VLOOKUP(A341,DAY_8[],6,0)</f>
        <v>GERMANY</v>
      </c>
      <c r="G341" s="5" t="str">
        <f>VLOOKUP(A341,DAY_8[],7,0)</f>
        <v>BLOCKCHAIN DEVELOPMENT</v>
      </c>
      <c r="H341" s="5">
        <f>VLOOKUP(A341,DAY_8[],8,0)</f>
        <v>20</v>
      </c>
      <c r="I341" s="5">
        <f>VLOOKUP(A341,DAY_8[],10,0)</f>
        <v>30</v>
      </c>
      <c r="J341" s="5">
        <f>VLOOKUP(A341,DAY_8[],11,0)</f>
        <v>0</v>
      </c>
    </row>
    <row r="342" spans="1:10" x14ac:dyDescent="0.25">
      <c r="A342" s="2" t="s">
        <v>707</v>
      </c>
      <c r="B342" s="2" t="str">
        <f>VLOOKUP(A342,DAY_8[],2,0)</f>
        <v>FL250341</v>
      </c>
      <c r="C342" t="str">
        <f>VLOOKUP(A342,DAY_8[],3,0)</f>
        <v>FEMALE</v>
      </c>
      <c r="D342">
        <f>VLOOKUP(A342,DAY_8[],4,0)</f>
        <v>37</v>
      </c>
      <c r="E342" t="str">
        <f>VLOOKUP(A342,DAY_8[],5,0)</f>
        <v>CANADA</v>
      </c>
      <c r="F342" s="5" t="str">
        <f>VLOOKUP(A342,DAY_8[],6,0)</f>
        <v>ENGLISH</v>
      </c>
      <c r="G342" s="5" t="str">
        <f>VLOOKUP(A342,DAY_8[],7,0)</f>
        <v>DEVOPS</v>
      </c>
      <c r="H342" s="5">
        <f>VLOOKUP(A342,DAY_8[],8,0)</f>
        <v>10</v>
      </c>
      <c r="I342" s="5">
        <f>VLOOKUP(A342,DAY_8[],10,0)</f>
        <v>20</v>
      </c>
      <c r="J342" s="5">
        <f>VLOOKUP(A342,DAY_8[],11,0)</f>
        <v>4.9000000000000004</v>
      </c>
    </row>
    <row r="343" spans="1:10" x14ac:dyDescent="0.25">
      <c r="A343" s="2" t="s">
        <v>709</v>
      </c>
      <c r="B343" s="2" t="str">
        <f>VLOOKUP(A343,DAY_8[],2,0)</f>
        <v>FL250342</v>
      </c>
      <c r="C343" t="str">
        <f>VLOOKUP(A343,DAY_8[],3,0)</f>
        <v>MALE</v>
      </c>
      <c r="D343">
        <f>VLOOKUP(A343,DAY_8[],4,0)</f>
        <v>53</v>
      </c>
      <c r="E343" t="str">
        <f>VLOOKUP(A343,DAY_8[],5,0)</f>
        <v>ITALY</v>
      </c>
      <c r="F343" s="5" t="str">
        <f>VLOOKUP(A343,DAY_8[],6,0)</f>
        <v>ITALIAN</v>
      </c>
      <c r="G343" s="5" t="str">
        <f>VLOOKUP(A343,DAY_8[],7,0)</f>
        <v>AI</v>
      </c>
      <c r="H343" s="5">
        <f>VLOOKUP(A343,DAY_8[],8,0)</f>
        <v>4</v>
      </c>
      <c r="I343" s="5">
        <f>VLOOKUP(A343,DAY_8[],10,0)</f>
        <v>30</v>
      </c>
      <c r="J343" s="5">
        <f>VLOOKUP(A343,DAY_8[],11,0)</f>
        <v>4.7</v>
      </c>
    </row>
    <row r="344" spans="1:10" x14ac:dyDescent="0.25">
      <c r="A344" s="2" t="s">
        <v>711</v>
      </c>
      <c r="B344" s="2" t="str">
        <f>VLOOKUP(A344,DAY_8[],2,0)</f>
        <v>FL250343</v>
      </c>
      <c r="C344" t="str">
        <f>VLOOKUP(A344,DAY_8[],3,0)</f>
        <v>FEMALE</v>
      </c>
      <c r="D344">
        <f>VLOOKUP(A344,DAY_8[],4,0)</f>
        <v>22</v>
      </c>
      <c r="E344" t="str">
        <f>VLOOKUP(A344,DAY_8[],5,0)</f>
        <v>ITALY</v>
      </c>
      <c r="F344" s="5" t="str">
        <f>VLOOKUP(A344,DAY_8[],6,0)</f>
        <v>ITALIAN</v>
      </c>
      <c r="G344" s="5" t="str">
        <f>VLOOKUP(A344,DAY_8[],7,0)</f>
        <v>BLOCKCHAIN DEVELOPMENT</v>
      </c>
      <c r="H344" s="5">
        <f>VLOOKUP(A344,DAY_8[],8,0)</f>
        <v>3</v>
      </c>
      <c r="I344" s="5">
        <f>VLOOKUP(A344,DAY_8[],10,0)</f>
        <v>40</v>
      </c>
      <c r="J344" s="5">
        <f>VLOOKUP(A344,DAY_8[],11,0)</f>
        <v>2.1</v>
      </c>
    </row>
    <row r="345" spans="1:10" x14ac:dyDescent="0.25">
      <c r="A345" s="2" t="s">
        <v>713</v>
      </c>
      <c r="B345" s="2" t="str">
        <f>VLOOKUP(A345,DAY_8[],2,0)</f>
        <v>FL250344</v>
      </c>
      <c r="C345" t="str">
        <f>VLOOKUP(A345,DAY_8[],3,0)</f>
        <v>FEMALE</v>
      </c>
      <c r="D345">
        <f>VLOOKUP(A345,DAY_8[],4,0)</f>
        <v>55</v>
      </c>
      <c r="E345" t="str">
        <f>VLOOKUP(A345,DAY_8[],5,0)</f>
        <v>NETHERLANDS</v>
      </c>
      <c r="F345" s="5" t="str">
        <f>VLOOKUP(A345,DAY_8[],6,0)</f>
        <v>DUTCH</v>
      </c>
      <c r="G345" s="5" t="str">
        <f>VLOOKUP(A345,DAY_8[],7,0)</f>
        <v>MOBILE APPS</v>
      </c>
      <c r="H345" s="5">
        <f>VLOOKUP(A345,DAY_8[],8,0)</f>
        <v>33</v>
      </c>
      <c r="I345" s="5">
        <f>VLOOKUP(A345,DAY_8[],10,0)</f>
        <v>40</v>
      </c>
      <c r="J345" s="5">
        <f>VLOOKUP(A345,DAY_8[],11,0)</f>
        <v>1.5</v>
      </c>
    </row>
    <row r="346" spans="1:10" x14ac:dyDescent="0.25">
      <c r="A346" s="2" t="s">
        <v>715</v>
      </c>
      <c r="B346" s="2" t="str">
        <f>VLOOKUP(A346,DAY_8[],2,0)</f>
        <v>FL250345</v>
      </c>
      <c r="C346" t="str">
        <f>VLOOKUP(A346,DAY_8[],3,0)</f>
        <v>MALE</v>
      </c>
      <c r="D346">
        <f>VLOOKUP(A346,DAY_8[],4,0)</f>
        <v>22</v>
      </c>
      <c r="E346" t="str">
        <f>VLOOKUP(A346,DAY_8[],5,0)</f>
        <v>AUSTRALIA</v>
      </c>
      <c r="F346" s="5" t="str">
        <f>VLOOKUP(A346,DAY_8[],6,0)</f>
        <v>ENGLISH</v>
      </c>
      <c r="G346" s="5" t="str">
        <f>VLOOKUP(A346,DAY_8[],7,0)</f>
        <v>CYBERSECURITY</v>
      </c>
      <c r="H346" s="5">
        <f>VLOOKUP(A346,DAY_8[],8,0)</f>
        <v>1</v>
      </c>
      <c r="I346" s="5">
        <f>VLOOKUP(A346,DAY_8[],10,0)</f>
        <v>70</v>
      </c>
      <c r="J346" s="5">
        <f>VLOOKUP(A346,DAY_8[],11,0)</f>
        <v>2.6</v>
      </c>
    </row>
    <row r="347" spans="1:10" x14ac:dyDescent="0.25">
      <c r="A347" s="2" t="s">
        <v>717</v>
      </c>
      <c r="B347" s="2" t="str">
        <f>VLOOKUP(A347,DAY_8[],2,0)</f>
        <v>FL250346</v>
      </c>
      <c r="C347" t="str">
        <f>VLOOKUP(A347,DAY_8[],3,0)</f>
        <v>FEMALE</v>
      </c>
      <c r="D347">
        <f>VLOOKUP(A347,DAY_8[],4,0)</f>
        <v>45</v>
      </c>
      <c r="E347" t="str">
        <f>VLOOKUP(A347,DAY_8[],5,0)</f>
        <v>TURKEY</v>
      </c>
      <c r="F347" s="5" t="str">
        <f>VLOOKUP(A347,DAY_8[],6,0)</f>
        <v>TURKISH</v>
      </c>
      <c r="G347" s="5" t="str">
        <f>VLOOKUP(A347,DAY_8[],7,0)</f>
        <v>WEB DEVELOPMENT</v>
      </c>
      <c r="H347" s="5">
        <f>VLOOKUP(A347,DAY_8[],8,0)</f>
        <v>23</v>
      </c>
      <c r="I347" s="5">
        <f>VLOOKUP(A347,DAY_8[],10,0)</f>
        <v>50</v>
      </c>
      <c r="J347" s="5">
        <f>VLOOKUP(A347,DAY_8[],11,0)</f>
        <v>0</v>
      </c>
    </row>
    <row r="348" spans="1:10" x14ac:dyDescent="0.25">
      <c r="A348" s="2" t="s">
        <v>719</v>
      </c>
      <c r="B348" s="2" t="str">
        <f>VLOOKUP(A348,DAY_8[],2,0)</f>
        <v>FL250347</v>
      </c>
      <c r="C348" t="str">
        <f>VLOOKUP(A348,DAY_8[],3,0)</f>
        <v>MALE</v>
      </c>
      <c r="D348">
        <f>VLOOKUP(A348,DAY_8[],4,0)</f>
        <v>36</v>
      </c>
      <c r="E348" t="str">
        <f>VLOOKUP(A348,DAY_8[],5,0)</f>
        <v>FRANCE</v>
      </c>
      <c r="F348" s="5" t="str">
        <f>VLOOKUP(A348,DAY_8[],6,0)</f>
        <v>FRENCH</v>
      </c>
      <c r="G348" s="5" t="str">
        <f>VLOOKUP(A348,DAY_8[],7,0)</f>
        <v>DATA ANALYSIS</v>
      </c>
      <c r="H348" s="5">
        <f>VLOOKUP(A348,DAY_8[],8,0)</f>
        <v>13</v>
      </c>
      <c r="I348" s="5">
        <f>VLOOKUP(A348,DAY_8[],10,0)</f>
        <v>40</v>
      </c>
      <c r="J348" s="5">
        <f>VLOOKUP(A348,DAY_8[],11,0)</f>
        <v>2.4</v>
      </c>
    </row>
    <row r="349" spans="1:10" x14ac:dyDescent="0.25">
      <c r="A349" s="2" t="s">
        <v>721</v>
      </c>
      <c r="B349" s="2" t="str">
        <f>VLOOKUP(A349,DAY_8[],2,0)</f>
        <v>FL250348</v>
      </c>
      <c r="C349" t="str">
        <f>VLOOKUP(A349,DAY_8[],3,0)</f>
        <v>MALE</v>
      </c>
      <c r="D349">
        <f>VLOOKUP(A349,DAY_8[],4,0)</f>
        <v>23</v>
      </c>
      <c r="E349" t="str">
        <f>VLOOKUP(A349,DAY_8[],5,0)</f>
        <v>AUSTRALIA</v>
      </c>
      <c r="F349" s="5" t="str">
        <f>VLOOKUP(A349,DAY_8[],6,0)</f>
        <v>ENGLISH</v>
      </c>
      <c r="G349" s="5" t="str">
        <f>VLOOKUP(A349,DAY_8[],7,0)</f>
        <v>DEVOPS</v>
      </c>
      <c r="H349" s="5">
        <f>VLOOKUP(A349,DAY_8[],8,0)</f>
        <v>1</v>
      </c>
      <c r="I349" s="5">
        <f>VLOOKUP(A349,DAY_8[],10,0)</f>
        <v>20</v>
      </c>
      <c r="J349" s="5">
        <f>VLOOKUP(A349,DAY_8[],11,0)</f>
        <v>4</v>
      </c>
    </row>
    <row r="350" spans="1:10" x14ac:dyDescent="0.25">
      <c r="A350" s="2" t="s">
        <v>723</v>
      </c>
      <c r="B350" s="2" t="str">
        <f>VLOOKUP(A350,DAY_8[],2,0)</f>
        <v>FL250349</v>
      </c>
      <c r="C350" t="str">
        <f>VLOOKUP(A350,DAY_8[],3,0)</f>
        <v>MALE</v>
      </c>
      <c r="D350">
        <f>VLOOKUP(A350,DAY_8[],4,0)</f>
        <v>55</v>
      </c>
      <c r="E350" t="str">
        <f>VLOOKUP(A350,DAY_8[],5,0)</f>
        <v>ITALY</v>
      </c>
      <c r="F350" s="5" t="str">
        <f>VLOOKUP(A350,DAY_8[],6,0)</f>
        <v>ITALIAN</v>
      </c>
      <c r="G350" s="5" t="str">
        <f>VLOOKUP(A350,DAY_8[],7,0)</f>
        <v>DEVOPS</v>
      </c>
      <c r="H350" s="5">
        <f>VLOOKUP(A350,DAY_8[],8,0)</f>
        <v>15</v>
      </c>
      <c r="I350" s="5">
        <f>VLOOKUP(A350,DAY_8[],10,0)</f>
        <v>40</v>
      </c>
      <c r="J350" s="5">
        <f>VLOOKUP(A350,DAY_8[],11,0)</f>
        <v>4.5</v>
      </c>
    </row>
    <row r="351" spans="1:10" x14ac:dyDescent="0.25">
      <c r="A351" s="2" t="s">
        <v>725</v>
      </c>
      <c r="B351" s="2" t="str">
        <f>VLOOKUP(A351,DAY_8[],2,0)</f>
        <v>FL250350</v>
      </c>
      <c r="C351" t="str">
        <f>VLOOKUP(A351,DAY_8[],3,0)</f>
        <v>FEMALE</v>
      </c>
      <c r="D351">
        <f>VLOOKUP(A351,DAY_8[],4,0)</f>
        <v>50</v>
      </c>
      <c r="E351" t="str">
        <f>VLOOKUP(A351,DAY_8[],5,0)</f>
        <v>BRAZIL</v>
      </c>
      <c r="F351" s="5" t="str">
        <f>VLOOKUP(A351,DAY_8[],6,0)</f>
        <v>PORTUGUESE</v>
      </c>
      <c r="G351" s="5" t="str">
        <f>VLOOKUP(A351,DAY_8[],7,0)</f>
        <v>MOBILE APPS</v>
      </c>
      <c r="H351" s="5">
        <f>VLOOKUP(A351,DAY_8[],8,0)</f>
        <v>18</v>
      </c>
      <c r="I351" s="5">
        <f>VLOOKUP(A351,DAY_8[],10,0)</f>
        <v>75</v>
      </c>
      <c r="J351" s="5">
        <f>VLOOKUP(A351,DAY_8[],11,0)</f>
        <v>3.8</v>
      </c>
    </row>
    <row r="352" spans="1:10" x14ac:dyDescent="0.25">
      <c r="A352" s="2" t="s">
        <v>727</v>
      </c>
      <c r="B352" s="2" t="str">
        <f>VLOOKUP(A352,DAY_8[],2,0)</f>
        <v>FL250351</v>
      </c>
      <c r="C352" t="str">
        <f>VLOOKUP(A352,DAY_8[],3,0)</f>
        <v>MALE</v>
      </c>
      <c r="D352">
        <f>VLOOKUP(A352,DAY_8[],4,0)</f>
        <v>48</v>
      </c>
      <c r="E352" t="str">
        <f>VLOOKUP(A352,DAY_8[],5,0)</f>
        <v>US</v>
      </c>
      <c r="F352" s="5" t="str">
        <f>VLOOKUP(A352,DAY_8[],6,0)</f>
        <v>ENGLISH</v>
      </c>
      <c r="G352" s="5" t="str">
        <f>VLOOKUP(A352,DAY_8[],7,0)</f>
        <v>MACHINE LEARNING</v>
      </c>
      <c r="H352" s="5">
        <f>VLOOKUP(A352,DAY_8[],8,0)</f>
        <v>21</v>
      </c>
      <c r="I352" s="5">
        <f>VLOOKUP(A352,DAY_8[],10,0)</f>
        <v>50</v>
      </c>
      <c r="J352" s="5">
        <f>VLOOKUP(A352,DAY_8[],11,0)</f>
        <v>4</v>
      </c>
    </row>
    <row r="353" spans="1:10" x14ac:dyDescent="0.25">
      <c r="A353" s="2" t="s">
        <v>729</v>
      </c>
      <c r="B353" s="2" t="str">
        <f>VLOOKUP(A353,DAY_8[],2,0)</f>
        <v>FL250352</v>
      </c>
      <c r="C353" t="str">
        <f>VLOOKUP(A353,DAY_8[],3,0)</f>
        <v>MALE</v>
      </c>
      <c r="D353">
        <f>VLOOKUP(A353,DAY_8[],4,0)</f>
        <v>23</v>
      </c>
      <c r="E353" t="str">
        <f>VLOOKUP(A353,DAY_8[],5,0)</f>
        <v>NETHERLANDS</v>
      </c>
      <c r="F353" s="5" t="str">
        <f>VLOOKUP(A353,DAY_8[],6,0)</f>
        <v>DUTCH</v>
      </c>
      <c r="G353" s="5" t="str">
        <f>VLOOKUP(A353,DAY_8[],7,0)</f>
        <v>DEVOPS</v>
      </c>
      <c r="H353" s="5">
        <f>VLOOKUP(A353,DAY_8[],8,0)</f>
        <v>1</v>
      </c>
      <c r="I353" s="5">
        <f>VLOOKUP(A353,DAY_8[],10,0)</f>
        <v>40</v>
      </c>
      <c r="J353" s="5">
        <f>VLOOKUP(A353,DAY_8[],11,0)</f>
        <v>4.9000000000000004</v>
      </c>
    </row>
    <row r="354" spans="1:10" x14ac:dyDescent="0.25">
      <c r="A354" s="2" t="s">
        <v>731</v>
      </c>
      <c r="B354" s="2" t="str">
        <f>VLOOKUP(A354,DAY_8[],2,0)</f>
        <v>FL250353</v>
      </c>
      <c r="C354" t="str">
        <f>VLOOKUP(A354,DAY_8[],3,0)</f>
        <v>FEMALE</v>
      </c>
      <c r="D354">
        <f>VLOOKUP(A354,DAY_8[],4,0)</f>
        <v>49</v>
      </c>
      <c r="E354" t="str">
        <f>VLOOKUP(A354,DAY_8[],5,0)</f>
        <v>CANADA</v>
      </c>
      <c r="F354" s="5" t="str">
        <f>VLOOKUP(A354,DAY_8[],6,0)</f>
        <v>ENGLISH</v>
      </c>
      <c r="G354" s="5" t="str">
        <f>VLOOKUP(A354,DAY_8[],7,0)</f>
        <v>WEB DEVELOPMENT</v>
      </c>
      <c r="H354" s="5">
        <f>VLOOKUP(A354,DAY_8[],8,0)</f>
        <v>25</v>
      </c>
      <c r="I354" s="5">
        <f>VLOOKUP(A354,DAY_8[],10,0)</f>
        <v>30</v>
      </c>
      <c r="J354" s="5">
        <f>VLOOKUP(A354,DAY_8[],11,0)</f>
        <v>3.4</v>
      </c>
    </row>
    <row r="355" spans="1:10" x14ac:dyDescent="0.25">
      <c r="A355" s="2" t="s">
        <v>733</v>
      </c>
      <c r="B355" s="2" t="str">
        <f>VLOOKUP(A355,DAY_8[],2,0)</f>
        <v>FL250354</v>
      </c>
      <c r="C355" t="str">
        <f>VLOOKUP(A355,DAY_8[],3,0)</f>
        <v>FEMALE</v>
      </c>
      <c r="D355">
        <f>VLOOKUP(A355,DAY_8[],4,0)</f>
        <v>47</v>
      </c>
      <c r="E355" t="str">
        <f>VLOOKUP(A355,DAY_8[],5,0)</f>
        <v>ITALY</v>
      </c>
      <c r="F355" s="5" t="str">
        <f>VLOOKUP(A355,DAY_8[],6,0)</f>
        <v>ITALIAN</v>
      </c>
      <c r="G355" s="5" t="str">
        <f>VLOOKUP(A355,DAY_8[],7,0)</f>
        <v>CYBERSECURITY</v>
      </c>
      <c r="H355" s="5">
        <f>VLOOKUP(A355,DAY_8[],8,0)</f>
        <v>12</v>
      </c>
      <c r="I355" s="5">
        <f>VLOOKUP(A355,DAY_8[],10,0)</f>
        <v>50</v>
      </c>
      <c r="J355" s="5">
        <f>VLOOKUP(A355,DAY_8[],11,0)</f>
        <v>2.1</v>
      </c>
    </row>
    <row r="356" spans="1:10" x14ac:dyDescent="0.25">
      <c r="A356" s="2" t="s">
        <v>735</v>
      </c>
      <c r="B356" s="2" t="str">
        <f>VLOOKUP(A356,DAY_8[],2,0)</f>
        <v>FL250355</v>
      </c>
      <c r="C356" t="str">
        <f>VLOOKUP(A356,DAY_8[],3,0)</f>
        <v>FEMALE</v>
      </c>
      <c r="D356">
        <f>VLOOKUP(A356,DAY_8[],4,0)</f>
        <v>56</v>
      </c>
      <c r="E356" t="str">
        <f>VLOOKUP(A356,DAY_8[],5,0)</f>
        <v>JAPAN</v>
      </c>
      <c r="F356" s="5" t="str">
        <f>VLOOKUP(A356,DAY_8[],6,0)</f>
        <v>JAPANESE</v>
      </c>
      <c r="G356" s="5" t="str">
        <f>VLOOKUP(A356,DAY_8[],7,0)</f>
        <v>GRAPHIC DESIGN</v>
      </c>
      <c r="H356" s="5">
        <f>VLOOKUP(A356,DAY_8[],8,0)</f>
        <v>32</v>
      </c>
      <c r="I356" s="5">
        <f>VLOOKUP(A356,DAY_8[],10,0)</f>
        <v>40</v>
      </c>
      <c r="J356" s="5">
        <f>VLOOKUP(A356,DAY_8[],11,0)</f>
        <v>0</v>
      </c>
    </row>
    <row r="357" spans="1:10" x14ac:dyDescent="0.25">
      <c r="A357" s="2" t="s">
        <v>737</v>
      </c>
      <c r="B357" s="2" t="str">
        <f>VLOOKUP(A357,DAY_8[],2,0)</f>
        <v>FL250356</v>
      </c>
      <c r="C357" t="str">
        <f>VLOOKUP(A357,DAY_8[],3,0)</f>
        <v>MALE</v>
      </c>
      <c r="D357">
        <f>VLOOKUP(A357,DAY_8[],4,0)</f>
        <v>58</v>
      </c>
      <c r="E357" t="str">
        <f>VLOOKUP(A357,DAY_8[],5,0)</f>
        <v>ARGENTINA</v>
      </c>
      <c r="F357" s="5" t="str">
        <f>VLOOKUP(A357,DAY_8[],6,0)</f>
        <v>SPANISH</v>
      </c>
      <c r="G357" s="5" t="str">
        <f>VLOOKUP(A357,DAY_8[],7,0)</f>
        <v>UI/UX DESIGN</v>
      </c>
      <c r="H357" s="5">
        <f>VLOOKUP(A357,DAY_8[],8,0)</f>
        <v>10</v>
      </c>
      <c r="I357" s="5">
        <f>VLOOKUP(A357,DAY_8[],10,0)</f>
        <v>100</v>
      </c>
      <c r="J357" s="5">
        <f>VLOOKUP(A357,DAY_8[],11,0)</f>
        <v>4.5</v>
      </c>
    </row>
    <row r="358" spans="1:10" x14ac:dyDescent="0.25">
      <c r="A358" s="2" t="s">
        <v>739</v>
      </c>
      <c r="B358" s="2" t="str">
        <f>VLOOKUP(A358,DAY_8[],2,0)</f>
        <v>FL250357</v>
      </c>
      <c r="C358" t="str">
        <f>VLOOKUP(A358,DAY_8[],3,0)</f>
        <v>MALE</v>
      </c>
      <c r="D358">
        <f>VLOOKUP(A358,DAY_8[],4,0)</f>
        <v>32</v>
      </c>
      <c r="E358" t="str">
        <f>VLOOKUP(A358,DAY_8[],5,0)</f>
        <v>SOUTH KOREA</v>
      </c>
      <c r="F358" s="5" t="str">
        <f>VLOOKUP(A358,DAY_8[],6,0)</f>
        <v>KOREAN</v>
      </c>
      <c r="G358" s="5" t="str">
        <f>VLOOKUP(A358,DAY_8[],7,0)</f>
        <v>UI/UX DESIGN</v>
      </c>
      <c r="H358" s="5">
        <f>VLOOKUP(A358,DAY_8[],8,0)</f>
        <v>10</v>
      </c>
      <c r="I358" s="5">
        <f>VLOOKUP(A358,DAY_8[],10,0)</f>
        <v>30</v>
      </c>
      <c r="J358" s="5">
        <f>VLOOKUP(A358,DAY_8[],11,0)</f>
        <v>3.8</v>
      </c>
    </row>
    <row r="359" spans="1:10" x14ac:dyDescent="0.25">
      <c r="A359" s="2" t="s">
        <v>741</v>
      </c>
      <c r="B359" s="2" t="str">
        <f>VLOOKUP(A359,DAY_8[],2,0)</f>
        <v>FL250358</v>
      </c>
      <c r="C359" t="str">
        <f>VLOOKUP(A359,DAY_8[],3,0)</f>
        <v>FEMALE</v>
      </c>
      <c r="D359">
        <f>VLOOKUP(A359,DAY_8[],4,0)</f>
        <v>52</v>
      </c>
      <c r="E359" t="str">
        <f>VLOOKUP(A359,DAY_8[],5,0)</f>
        <v>INDIA</v>
      </c>
      <c r="F359" s="5" t="str">
        <f>VLOOKUP(A359,DAY_8[],6,0)</f>
        <v>HINDI</v>
      </c>
      <c r="G359" s="5" t="str">
        <f>VLOOKUP(A359,DAY_8[],7,0)</f>
        <v>UI/UX DESIGN</v>
      </c>
      <c r="H359" s="5">
        <f>VLOOKUP(A359,DAY_8[],8,0)</f>
        <v>0</v>
      </c>
      <c r="I359" s="5">
        <f>VLOOKUP(A359,DAY_8[],10,0)</f>
        <v>70</v>
      </c>
      <c r="J359" s="5">
        <f>VLOOKUP(A359,DAY_8[],11,0)</f>
        <v>4.3</v>
      </c>
    </row>
    <row r="360" spans="1:10" x14ac:dyDescent="0.25">
      <c r="A360" s="2" t="s">
        <v>743</v>
      </c>
      <c r="B360" s="2" t="str">
        <f>VLOOKUP(A360,DAY_8[],2,0)</f>
        <v>FL250359</v>
      </c>
      <c r="C360" t="str">
        <f>VLOOKUP(A360,DAY_8[],3,0)</f>
        <v>FEMALE</v>
      </c>
      <c r="D360">
        <f>VLOOKUP(A360,DAY_8[],4,0)</f>
        <v>22</v>
      </c>
      <c r="E360" t="str">
        <f>VLOOKUP(A360,DAY_8[],5,0)</f>
        <v>CHINA</v>
      </c>
      <c r="F360" s="5" t="str">
        <f>VLOOKUP(A360,DAY_8[],6,0)</f>
        <v>MANDARIN</v>
      </c>
      <c r="G360" s="5" t="str">
        <f>VLOOKUP(A360,DAY_8[],7,0)</f>
        <v>DATA ANALYSIS</v>
      </c>
      <c r="H360" s="5">
        <f>VLOOKUP(A360,DAY_8[],8,0)</f>
        <v>1</v>
      </c>
      <c r="I360" s="5">
        <f>VLOOKUP(A360,DAY_8[],10,0)</f>
        <v>50</v>
      </c>
      <c r="J360" s="5">
        <f>VLOOKUP(A360,DAY_8[],11,0)</f>
        <v>0</v>
      </c>
    </row>
    <row r="361" spans="1:10" x14ac:dyDescent="0.25">
      <c r="A361" s="2" t="s">
        <v>745</v>
      </c>
      <c r="B361" s="2" t="str">
        <f>VLOOKUP(A361,DAY_8[],2,0)</f>
        <v>FL250360</v>
      </c>
      <c r="C361" t="str">
        <f>VLOOKUP(A361,DAY_8[],3,0)</f>
        <v>MALE</v>
      </c>
      <c r="D361">
        <f>VLOOKUP(A361,DAY_8[],4,0)</f>
        <v>20</v>
      </c>
      <c r="E361" t="str">
        <f>VLOOKUP(A361,DAY_8[],5,0)</f>
        <v>INDIA</v>
      </c>
      <c r="F361" s="5" t="str">
        <f>VLOOKUP(A361,DAY_8[],6,0)</f>
        <v>HINDI</v>
      </c>
      <c r="G361" s="5" t="str">
        <f>VLOOKUP(A361,DAY_8[],7,0)</f>
        <v>CYBERSECURITY</v>
      </c>
      <c r="H361" s="5">
        <f>VLOOKUP(A361,DAY_8[],8,0)</f>
        <v>2</v>
      </c>
      <c r="I361" s="5">
        <f>VLOOKUP(A361,DAY_8[],10,0)</f>
        <v>30</v>
      </c>
      <c r="J361" s="5">
        <f>VLOOKUP(A361,DAY_8[],11,0)</f>
        <v>2.4</v>
      </c>
    </row>
    <row r="362" spans="1:10" x14ac:dyDescent="0.25">
      <c r="A362" s="2" t="s">
        <v>747</v>
      </c>
      <c r="B362" s="2" t="str">
        <f>VLOOKUP(A362,DAY_8[],2,0)</f>
        <v>FL250361</v>
      </c>
      <c r="C362" t="str">
        <f>VLOOKUP(A362,DAY_8[],3,0)</f>
        <v>MALE</v>
      </c>
      <c r="D362">
        <f>VLOOKUP(A362,DAY_8[],4,0)</f>
        <v>56</v>
      </c>
      <c r="E362" t="str">
        <f>VLOOKUP(A362,DAY_8[],5,0)</f>
        <v>NETHERLANDS</v>
      </c>
      <c r="F362" s="5" t="str">
        <f>VLOOKUP(A362,DAY_8[],6,0)</f>
        <v>DUTCH</v>
      </c>
      <c r="G362" s="5" t="str">
        <f>VLOOKUP(A362,DAY_8[],7,0)</f>
        <v>DATA ANALYSIS</v>
      </c>
      <c r="H362" s="5">
        <f>VLOOKUP(A362,DAY_8[],8,0)</f>
        <v>9</v>
      </c>
      <c r="I362" s="5">
        <f>VLOOKUP(A362,DAY_8[],10,0)</f>
        <v>40</v>
      </c>
      <c r="J362" s="5">
        <f>VLOOKUP(A362,DAY_8[],11,0)</f>
        <v>2.6</v>
      </c>
    </row>
    <row r="363" spans="1:10" x14ac:dyDescent="0.25">
      <c r="A363" s="2" t="s">
        <v>749</v>
      </c>
      <c r="B363" s="2" t="str">
        <f>VLOOKUP(A363,DAY_8[],2,0)</f>
        <v>FL250362</v>
      </c>
      <c r="C363" t="str">
        <f>VLOOKUP(A363,DAY_8[],3,0)</f>
        <v>MALE</v>
      </c>
      <c r="D363">
        <f>VLOOKUP(A363,DAY_8[],4,0)</f>
        <v>41</v>
      </c>
      <c r="E363" t="str">
        <f>VLOOKUP(A363,DAY_8[],5,0)</f>
        <v>JAPAN</v>
      </c>
      <c r="F363" s="5" t="str">
        <f>VLOOKUP(A363,DAY_8[],6,0)</f>
        <v>JAPANESE</v>
      </c>
      <c r="G363" s="5" t="str">
        <f>VLOOKUP(A363,DAY_8[],7,0)</f>
        <v>DATA ANALYSIS</v>
      </c>
      <c r="H363" s="5">
        <f>VLOOKUP(A363,DAY_8[],8,0)</f>
        <v>22</v>
      </c>
      <c r="I363" s="5">
        <f>VLOOKUP(A363,DAY_8[],10,0)</f>
        <v>50</v>
      </c>
      <c r="J363" s="5">
        <f>VLOOKUP(A363,DAY_8[],11,0)</f>
        <v>1.6</v>
      </c>
    </row>
    <row r="364" spans="1:10" x14ac:dyDescent="0.25">
      <c r="A364" s="2" t="s">
        <v>751</v>
      </c>
      <c r="B364" s="2" t="str">
        <f>VLOOKUP(A364,DAY_8[],2,0)</f>
        <v>FL250363</v>
      </c>
      <c r="C364" t="str">
        <f>VLOOKUP(A364,DAY_8[],3,0)</f>
        <v>MALE</v>
      </c>
      <c r="D364">
        <f>VLOOKUP(A364,DAY_8[],4,0)</f>
        <v>25</v>
      </c>
      <c r="E364" t="str">
        <f>VLOOKUP(A364,DAY_8[],5,0)</f>
        <v>ARGENTINA</v>
      </c>
      <c r="F364" s="5" t="str">
        <f>VLOOKUP(A364,DAY_8[],6,0)</f>
        <v>SPANISH</v>
      </c>
      <c r="G364" s="5" t="str">
        <f>VLOOKUP(A364,DAY_8[],7,0)</f>
        <v>BLOCKCHAIN DEVELOPMENT</v>
      </c>
      <c r="H364" s="5">
        <f>VLOOKUP(A364,DAY_8[],8,0)</f>
        <v>5</v>
      </c>
      <c r="I364" s="5">
        <f>VLOOKUP(A364,DAY_8[],10,0)</f>
        <v>30</v>
      </c>
      <c r="J364" s="5">
        <f>VLOOKUP(A364,DAY_8[],11,0)</f>
        <v>2.2999999999999998</v>
      </c>
    </row>
    <row r="365" spans="1:10" x14ac:dyDescent="0.25">
      <c r="A365" s="2" t="s">
        <v>753</v>
      </c>
      <c r="B365" s="2" t="str">
        <f>VLOOKUP(A365,DAY_8[],2,0)</f>
        <v>FL250364</v>
      </c>
      <c r="C365" t="str">
        <f>VLOOKUP(A365,DAY_8[],3,0)</f>
        <v>FEMALE</v>
      </c>
      <c r="D365">
        <f>VLOOKUP(A365,DAY_8[],4,0)</f>
        <v>44</v>
      </c>
      <c r="E365" t="str">
        <f>VLOOKUP(A365,DAY_8[],5,0)</f>
        <v>CANADA</v>
      </c>
      <c r="F365" s="5" t="str">
        <f>VLOOKUP(A365,DAY_8[],6,0)</f>
        <v>ENGLISH</v>
      </c>
      <c r="G365" s="5" t="str">
        <f>VLOOKUP(A365,DAY_8[],7,0)</f>
        <v>CYBERSECURITY</v>
      </c>
      <c r="H365" s="5">
        <f>VLOOKUP(A365,DAY_8[],8,0)</f>
        <v>6</v>
      </c>
      <c r="I365" s="5">
        <f>VLOOKUP(A365,DAY_8[],10,0)</f>
        <v>75</v>
      </c>
      <c r="J365" s="5">
        <f>VLOOKUP(A365,DAY_8[],11,0)</f>
        <v>4.5999999999999996</v>
      </c>
    </row>
    <row r="366" spans="1:10" x14ac:dyDescent="0.25">
      <c r="A366" s="2" t="s">
        <v>755</v>
      </c>
      <c r="B366" s="2" t="str">
        <f>VLOOKUP(A366,DAY_8[],2,0)</f>
        <v>FL250365</v>
      </c>
      <c r="C366" t="str">
        <f>VLOOKUP(A366,DAY_8[],3,0)</f>
        <v>FEMALE</v>
      </c>
      <c r="D366">
        <f>VLOOKUP(A366,DAY_8[],4,0)</f>
        <v>46</v>
      </c>
      <c r="E366" t="str">
        <f>VLOOKUP(A366,DAY_8[],5,0)</f>
        <v>AUSTRALIA</v>
      </c>
      <c r="F366" s="5" t="str">
        <f>VLOOKUP(A366,DAY_8[],6,0)</f>
        <v>ENGLISH</v>
      </c>
      <c r="G366" s="5" t="str">
        <f>VLOOKUP(A366,DAY_8[],7,0)</f>
        <v>WEB DEVELOPMENT</v>
      </c>
      <c r="H366" s="5">
        <f>VLOOKUP(A366,DAY_8[],8,0)</f>
        <v>26</v>
      </c>
      <c r="I366" s="5">
        <f>VLOOKUP(A366,DAY_8[],10,0)</f>
        <v>100</v>
      </c>
      <c r="J366" s="5">
        <f>VLOOKUP(A366,DAY_8[],11,0)</f>
        <v>2.1</v>
      </c>
    </row>
    <row r="367" spans="1:10" x14ac:dyDescent="0.25">
      <c r="A367" s="2" t="s">
        <v>757</v>
      </c>
      <c r="B367" s="2" t="str">
        <f>VLOOKUP(A367,DAY_8[],2,0)</f>
        <v>FL250366</v>
      </c>
      <c r="C367" t="str">
        <f>VLOOKUP(A367,DAY_8[],3,0)</f>
        <v>FEMALE</v>
      </c>
      <c r="D367">
        <f>VLOOKUP(A367,DAY_8[],4,0)</f>
        <v>40</v>
      </c>
      <c r="E367" t="str">
        <f>VLOOKUP(A367,DAY_8[],5,0)</f>
        <v>SOUTH KOREA</v>
      </c>
      <c r="F367" s="5" t="str">
        <f>VLOOKUP(A367,DAY_8[],6,0)</f>
        <v>KOREAN</v>
      </c>
      <c r="G367" s="5" t="str">
        <f>VLOOKUP(A367,DAY_8[],7,0)</f>
        <v>BLOCKCHAIN DEVELOPMENT</v>
      </c>
      <c r="H367" s="5">
        <f>VLOOKUP(A367,DAY_8[],8,0)</f>
        <v>10</v>
      </c>
      <c r="I367" s="5">
        <f>VLOOKUP(A367,DAY_8[],10,0)</f>
        <v>40</v>
      </c>
      <c r="J367" s="5">
        <f>VLOOKUP(A367,DAY_8[],11,0)</f>
        <v>1.5</v>
      </c>
    </row>
    <row r="368" spans="1:10" x14ac:dyDescent="0.25">
      <c r="A368" s="2" t="s">
        <v>759</v>
      </c>
      <c r="B368" s="2" t="str">
        <f>VLOOKUP(A368,DAY_8[],2,0)</f>
        <v>FL250367</v>
      </c>
      <c r="C368" t="str">
        <f>VLOOKUP(A368,DAY_8[],3,0)</f>
        <v>MALE</v>
      </c>
      <c r="D368">
        <f>VLOOKUP(A368,DAY_8[],4,0)</f>
        <v>41</v>
      </c>
      <c r="E368" t="str">
        <f>VLOOKUP(A368,DAY_8[],5,0)</f>
        <v>CHINA</v>
      </c>
      <c r="F368" s="5" t="str">
        <f>VLOOKUP(A368,DAY_8[],6,0)</f>
        <v>MANDARIN</v>
      </c>
      <c r="G368" s="5" t="str">
        <f>VLOOKUP(A368,DAY_8[],7,0)</f>
        <v>AI</v>
      </c>
      <c r="H368" s="5">
        <f>VLOOKUP(A368,DAY_8[],8,0)</f>
        <v>9</v>
      </c>
      <c r="I368" s="5">
        <f>VLOOKUP(A368,DAY_8[],10,0)</f>
        <v>40</v>
      </c>
      <c r="J368" s="5">
        <f>VLOOKUP(A368,DAY_8[],11,0)</f>
        <v>1.7</v>
      </c>
    </row>
    <row r="369" spans="1:10" x14ac:dyDescent="0.25">
      <c r="A369" s="2" t="s">
        <v>761</v>
      </c>
      <c r="B369" s="2" t="str">
        <f>VLOOKUP(A369,DAY_8[],2,0)</f>
        <v>FL250368</v>
      </c>
      <c r="C369" t="str">
        <f>VLOOKUP(A369,DAY_8[],3,0)</f>
        <v>MALE</v>
      </c>
      <c r="D369">
        <f>VLOOKUP(A369,DAY_8[],4,0)</f>
        <v>31</v>
      </c>
      <c r="E369" t="str">
        <f>VLOOKUP(A369,DAY_8[],5,0)</f>
        <v>JAPAN</v>
      </c>
      <c r="F369" s="5" t="str">
        <f>VLOOKUP(A369,DAY_8[],6,0)</f>
        <v>JAPANESE</v>
      </c>
      <c r="G369" s="5" t="str">
        <f>VLOOKUP(A369,DAY_8[],7,0)</f>
        <v>DATA ANALYSIS</v>
      </c>
      <c r="H369" s="5">
        <f>VLOOKUP(A369,DAY_8[],8,0)</f>
        <v>11</v>
      </c>
      <c r="I369" s="5">
        <f>VLOOKUP(A369,DAY_8[],10,0)</f>
        <v>70</v>
      </c>
      <c r="J369" s="5">
        <f>VLOOKUP(A369,DAY_8[],11,0)</f>
        <v>3.3</v>
      </c>
    </row>
    <row r="370" spans="1:10" x14ac:dyDescent="0.25">
      <c r="A370" s="2" t="s">
        <v>763</v>
      </c>
      <c r="B370" s="2" t="str">
        <f>VLOOKUP(A370,DAY_8[],2,0)</f>
        <v>FL250369</v>
      </c>
      <c r="C370" t="str">
        <f>VLOOKUP(A370,DAY_8[],3,0)</f>
        <v>MALE</v>
      </c>
      <c r="D370">
        <f>VLOOKUP(A370,DAY_8[],4,0)</f>
        <v>33</v>
      </c>
      <c r="E370" t="str">
        <f>VLOOKUP(A370,DAY_8[],5,0)</f>
        <v>SOUTH KOREA</v>
      </c>
      <c r="F370" s="5" t="str">
        <f>VLOOKUP(A370,DAY_8[],6,0)</f>
        <v>KOREAN</v>
      </c>
      <c r="G370" s="5" t="str">
        <f>VLOOKUP(A370,DAY_8[],7,0)</f>
        <v>MACHINE LEARNING</v>
      </c>
      <c r="H370" s="5">
        <f>VLOOKUP(A370,DAY_8[],8,0)</f>
        <v>10</v>
      </c>
      <c r="I370" s="5">
        <f>VLOOKUP(A370,DAY_8[],10,0)</f>
        <v>40</v>
      </c>
      <c r="J370" s="5">
        <f>VLOOKUP(A370,DAY_8[],11,0)</f>
        <v>4.3</v>
      </c>
    </row>
    <row r="371" spans="1:10" x14ac:dyDescent="0.25">
      <c r="A371" s="2" t="s">
        <v>765</v>
      </c>
      <c r="B371" s="2" t="str">
        <f>VLOOKUP(A371,DAY_8[],2,0)</f>
        <v>FL250370</v>
      </c>
      <c r="C371" t="str">
        <f>VLOOKUP(A371,DAY_8[],3,0)</f>
        <v>FEMALE</v>
      </c>
      <c r="D371">
        <f>VLOOKUP(A371,DAY_8[],4,0)</f>
        <v>31</v>
      </c>
      <c r="E371" t="str">
        <f>VLOOKUP(A371,DAY_8[],5,0)</f>
        <v>BRAZIL</v>
      </c>
      <c r="F371" s="5" t="str">
        <f>VLOOKUP(A371,DAY_8[],6,0)</f>
        <v>PORTUGUESE</v>
      </c>
      <c r="G371" s="5" t="str">
        <f>VLOOKUP(A371,DAY_8[],7,0)</f>
        <v>MACHINE LEARNING</v>
      </c>
      <c r="H371" s="5">
        <f>VLOOKUP(A371,DAY_8[],8,0)</f>
        <v>3</v>
      </c>
      <c r="I371" s="5">
        <f>VLOOKUP(A371,DAY_8[],10,0)</f>
        <v>20</v>
      </c>
      <c r="J371" s="5">
        <f>VLOOKUP(A371,DAY_8[],11,0)</f>
        <v>2.4</v>
      </c>
    </row>
    <row r="372" spans="1:10" x14ac:dyDescent="0.25">
      <c r="A372" s="2" t="s">
        <v>767</v>
      </c>
      <c r="B372" s="2" t="str">
        <f>VLOOKUP(A372,DAY_8[],2,0)</f>
        <v>FL250371</v>
      </c>
      <c r="C372" t="str">
        <f>VLOOKUP(A372,DAY_8[],3,0)</f>
        <v>FEMALE</v>
      </c>
      <c r="D372">
        <f>VLOOKUP(A372,DAY_8[],4,0)</f>
        <v>49</v>
      </c>
      <c r="E372" t="str">
        <f>VLOOKUP(A372,DAY_8[],5,0)</f>
        <v>ITALY</v>
      </c>
      <c r="F372" s="5" t="str">
        <f>VLOOKUP(A372,DAY_8[],6,0)</f>
        <v>ITALIAN</v>
      </c>
      <c r="G372" s="5" t="str">
        <f>VLOOKUP(A372,DAY_8[],7,0)</f>
        <v>DATA ANALYSIS</v>
      </c>
      <c r="H372" s="5">
        <f>VLOOKUP(A372,DAY_8[],8,0)</f>
        <v>15</v>
      </c>
      <c r="I372" s="5">
        <f>VLOOKUP(A372,DAY_8[],10,0)</f>
        <v>75</v>
      </c>
      <c r="J372" s="5">
        <f>VLOOKUP(A372,DAY_8[],11,0)</f>
        <v>2.6</v>
      </c>
    </row>
    <row r="373" spans="1:10" x14ac:dyDescent="0.25">
      <c r="A373" s="2" t="s">
        <v>769</v>
      </c>
      <c r="B373" s="2" t="str">
        <f>VLOOKUP(A373,DAY_8[],2,0)</f>
        <v>FL250372</v>
      </c>
      <c r="C373" t="str">
        <f>VLOOKUP(A373,DAY_8[],3,0)</f>
        <v>MALE</v>
      </c>
      <c r="D373">
        <f>VLOOKUP(A373,DAY_8[],4,0)</f>
        <v>35</v>
      </c>
      <c r="E373" t="str">
        <f>VLOOKUP(A373,DAY_8[],5,0)</f>
        <v>MEXICO</v>
      </c>
      <c r="F373" s="5" t="str">
        <f>VLOOKUP(A373,DAY_8[],6,0)</f>
        <v>SPANISH</v>
      </c>
      <c r="G373" s="5" t="str">
        <f>VLOOKUP(A373,DAY_8[],7,0)</f>
        <v>GRAPHIC DESIGN</v>
      </c>
      <c r="H373" s="5">
        <f>VLOOKUP(A373,DAY_8[],8,0)</f>
        <v>12</v>
      </c>
      <c r="I373" s="5">
        <f>VLOOKUP(A373,DAY_8[],10,0)</f>
        <v>20</v>
      </c>
      <c r="J373" s="5">
        <f>VLOOKUP(A373,DAY_8[],11,0)</f>
        <v>4.0999999999999996</v>
      </c>
    </row>
    <row r="374" spans="1:10" x14ac:dyDescent="0.25">
      <c r="A374" s="2" t="s">
        <v>771</v>
      </c>
      <c r="B374" s="2" t="str">
        <f>VLOOKUP(A374,DAY_8[],2,0)</f>
        <v>FL250373</v>
      </c>
      <c r="C374" t="str">
        <f>VLOOKUP(A374,DAY_8[],3,0)</f>
        <v>MALE</v>
      </c>
      <c r="D374">
        <f>VLOOKUP(A374,DAY_8[],4,0)</f>
        <v>45</v>
      </c>
      <c r="E374" t="str">
        <f>VLOOKUP(A374,DAY_8[],5,0)</f>
        <v>INDIA</v>
      </c>
      <c r="F374" s="5" t="str">
        <f>VLOOKUP(A374,DAY_8[],6,0)</f>
        <v>HINDI</v>
      </c>
      <c r="G374" s="5" t="str">
        <f>VLOOKUP(A374,DAY_8[],7,0)</f>
        <v>DATA ANALYSIS</v>
      </c>
      <c r="H374" s="5">
        <f>VLOOKUP(A374,DAY_8[],8,0)</f>
        <v>19</v>
      </c>
      <c r="I374" s="5">
        <f>VLOOKUP(A374,DAY_8[],10,0)</f>
        <v>40</v>
      </c>
      <c r="J374" s="5">
        <f>VLOOKUP(A374,DAY_8[],11,0)</f>
        <v>2.2000000000000002</v>
      </c>
    </row>
    <row r="375" spans="1:10" x14ac:dyDescent="0.25">
      <c r="A375" s="2" t="s">
        <v>773</v>
      </c>
      <c r="B375" s="2" t="str">
        <f>VLOOKUP(A375,DAY_8[],2,0)</f>
        <v>FL250374</v>
      </c>
      <c r="C375" t="str">
        <f>VLOOKUP(A375,DAY_8[],3,0)</f>
        <v>FEMALE</v>
      </c>
      <c r="D375">
        <f>VLOOKUP(A375,DAY_8[],4,0)</f>
        <v>39</v>
      </c>
      <c r="E375" t="str">
        <f>VLOOKUP(A375,DAY_8[],5,0)</f>
        <v>NETHERLANDS</v>
      </c>
      <c r="F375" s="5" t="str">
        <f>VLOOKUP(A375,DAY_8[],6,0)</f>
        <v>DUTCH</v>
      </c>
      <c r="G375" s="5" t="str">
        <f>VLOOKUP(A375,DAY_8[],7,0)</f>
        <v>DATA ANALYSIS</v>
      </c>
      <c r="H375" s="5">
        <f>VLOOKUP(A375,DAY_8[],8,0)</f>
        <v>13</v>
      </c>
      <c r="I375" s="5">
        <f>VLOOKUP(A375,DAY_8[],10,0)</f>
        <v>30</v>
      </c>
      <c r="J375" s="5">
        <f>VLOOKUP(A375,DAY_8[],11,0)</f>
        <v>1.1000000000000001</v>
      </c>
    </row>
    <row r="376" spans="1:10" x14ac:dyDescent="0.25">
      <c r="A376" s="2" t="s">
        <v>775</v>
      </c>
      <c r="B376" s="2" t="str">
        <f>VLOOKUP(A376,DAY_8[],2,0)</f>
        <v>FL250375</v>
      </c>
      <c r="C376" t="str">
        <f>VLOOKUP(A376,DAY_8[],3,0)</f>
        <v>MALE</v>
      </c>
      <c r="D376">
        <f>VLOOKUP(A376,DAY_8[],4,0)</f>
        <v>41</v>
      </c>
      <c r="E376" t="str">
        <f>VLOOKUP(A376,DAY_8[],5,0)</f>
        <v>ARGENTINA</v>
      </c>
      <c r="F376" s="5" t="str">
        <f>VLOOKUP(A376,DAY_8[],6,0)</f>
        <v>SPANISH</v>
      </c>
      <c r="G376" s="5" t="str">
        <f>VLOOKUP(A376,DAY_8[],7,0)</f>
        <v>BLOCKCHAIN DEVELOPMENT</v>
      </c>
      <c r="H376" s="5">
        <f>VLOOKUP(A376,DAY_8[],8,0)</f>
        <v>10</v>
      </c>
      <c r="I376" s="5">
        <f>VLOOKUP(A376,DAY_8[],10,0)</f>
        <v>50</v>
      </c>
      <c r="J376" s="5">
        <f>VLOOKUP(A376,DAY_8[],11,0)</f>
        <v>2.1</v>
      </c>
    </row>
    <row r="377" spans="1:10" x14ac:dyDescent="0.25">
      <c r="A377" s="2" t="s">
        <v>777</v>
      </c>
      <c r="B377" s="2" t="str">
        <f>VLOOKUP(A377,DAY_8[],2,0)</f>
        <v>FL250376</v>
      </c>
      <c r="C377" t="str">
        <f>VLOOKUP(A377,DAY_8[],3,0)</f>
        <v>MALE</v>
      </c>
      <c r="D377">
        <f>VLOOKUP(A377,DAY_8[],4,0)</f>
        <v>24</v>
      </c>
      <c r="E377" t="str">
        <f>VLOOKUP(A377,DAY_8[],5,0)</f>
        <v>GERMANY</v>
      </c>
      <c r="F377" s="5" t="str">
        <f>VLOOKUP(A377,DAY_8[],6,0)</f>
        <v>GERMANY</v>
      </c>
      <c r="G377" s="5" t="str">
        <f>VLOOKUP(A377,DAY_8[],7,0)</f>
        <v>CYBERSECURITY</v>
      </c>
      <c r="H377" s="5">
        <f>VLOOKUP(A377,DAY_8[],8,0)</f>
        <v>3</v>
      </c>
      <c r="I377" s="5">
        <f>VLOOKUP(A377,DAY_8[],10,0)</f>
        <v>30</v>
      </c>
      <c r="J377" s="5">
        <f>VLOOKUP(A377,DAY_8[],11,0)</f>
        <v>2.2999999999999998</v>
      </c>
    </row>
    <row r="378" spans="1:10" x14ac:dyDescent="0.25">
      <c r="A378" s="2" t="s">
        <v>779</v>
      </c>
      <c r="B378" s="2" t="str">
        <f>VLOOKUP(A378,DAY_8[],2,0)</f>
        <v>FL250377</v>
      </c>
      <c r="C378" t="str">
        <f>VLOOKUP(A378,DAY_8[],3,0)</f>
        <v>MALE</v>
      </c>
      <c r="D378">
        <f>VLOOKUP(A378,DAY_8[],4,0)</f>
        <v>50</v>
      </c>
      <c r="E378" t="str">
        <f>VLOOKUP(A378,DAY_8[],5,0)</f>
        <v>AUSTRALIA</v>
      </c>
      <c r="F378" s="5" t="str">
        <f>VLOOKUP(A378,DAY_8[],6,0)</f>
        <v>ENGLISH</v>
      </c>
      <c r="G378" s="5" t="str">
        <f>VLOOKUP(A378,DAY_8[],7,0)</f>
        <v>GRAPHIC DESIGN</v>
      </c>
      <c r="H378" s="5">
        <f>VLOOKUP(A378,DAY_8[],8,0)</f>
        <v>26</v>
      </c>
      <c r="I378" s="5">
        <f>VLOOKUP(A378,DAY_8[],10,0)</f>
        <v>70</v>
      </c>
      <c r="J378" s="5">
        <f>VLOOKUP(A378,DAY_8[],11,0)</f>
        <v>3.6</v>
      </c>
    </row>
    <row r="379" spans="1:10" x14ac:dyDescent="0.25">
      <c r="A379" s="2" t="s">
        <v>781</v>
      </c>
      <c r="B379" s="2" t="str">
        <f>VLOOKUP(A379,DAY_8[],2,0)</f>
        <v>FL250378</v>
      </c>
      <c r="C379" t="str">
        <f>VLOOKUP(A379,DAY_8[],3,0)</f>
        <v>FEMALE</v>
      </c>
      <c r="D379">
        <f>VLOOKUP(A379,DAY_8[],4,0)</f>
        <v>23</v>
      </c>
      <c r="E379" t="str">
        <f>VLOOKUP(A379,DAY_8[],5,0)</f>
        <v>GERMANY</v>
      </c>
      <c r="F379" s="5" t="str">
        <f>VLOOKUP(A379,DAY_8[],6,0)</f>
        <v>GERMANY</v>
      </c>
      <c r="G379" s="5" t="str">
        <f>VLOOKUP(A379,DAY_8[],7,0)</f>
        <v>MACHINE LEARNING</v>
      </c>
      <c r="H379" s="5">
        <f>VLOOKUP(A379,DAY_8[],8,0)</f>
        <v>4</v>
      </c>
      <c r="I379" s="5">
        <f>VLOOKUP(A379,DAY_8[],10,0)</f>
        <v>20</v>
      </c>
      <c r="J379" s="5">
        <f>VLOOKUP(A379,DAY_8[],11,0)</f>
        <v>4.7</v>
      </c>
    </row>
    <row r="380" spans="1:10" x14ac:dyDescent="0.25">
      <c r="A380" s="2" t="s">
        <v>783</v>
      </c>
      <c r="B380" s="2" t="str">
        <f>VLOOKUP(A380,DAY_8[],2,0)</f>
        <v>FL250379</v>
      </c>
      <c r="C380" t="str">
        <f>VLOOKUP(A380,DAY_8[],3,0)</f>
        <v>MALE</v>
      </c>
      <c r="D380">
        <f>VLOOKUP(A380,DAY_8[],4,0)</f>
        <v>27</v>
      </c>
      <c r="E380" t="str">
        <f>VLOOKUP(A380,DAY_8[],5,0)</f>
        <v>CANADA</v>
      </c>
      <c r="F380" s="5" t="str">
        <f>VLOOKUP(A380,DAY_8[],6,0)</f>
        <v>ENGLISH</v>
      </c>
      <c r="G380" s="5" t="str">
        <f>VLOOKUP(A380,DAY_8[],7,0)</f>
        <v>CYBERSECURITY</v>
      </c>
      <c r="H380" s="5">
        <f>VLOOKUP(A380,DAY_8[],8,0)</f>
        <v>8</v>
      </c>
      <c r="I380" s="5">
        <f>VLOOKUP(A380,DAY_8[],10,0)</f>
        <v>20</v>
      </c>
      <c r="J380" s="5">
        <f>VLOOKUP(A380,DAY_8[],11,0)</f>
        <v>4.8</v>
      </c>
    </row>
    <row r="381" spans="1:10" x14ac:dyDescent="0.25">
      <c r="A381" s="2" t="s">
        <v>785</v>
      </c>
      <c r="B381" s="2" t="str">
        <f>VLOOKUP(A381,DAY_8[],2,0)</f>
        <v>FL250380</v>
      </c>
      <c r="C381" t="str">
        <f>VLOOKUP(A381,DAY_8[],3,0)</f>
        <v>MALE</v>
      </c>
      <c r="D381">
        <f>VLOOKUP(A381,DAY_8[],4,0)</f>
        <v>58</v>
      </c>
      <c r="E381" t="str">
        <f>VLOOKUP(A381,DAY_8[],5,0)</f>
        <v>SOUTH AFRICA</v>
      </c>
      <c r="F381" s="5" t="str">
        <f>VLOOKUP(A381,DAY_8[],6,0)</f>
        <v>AFRIKAANS</v>
      </c>
      <c r="G381" s="5" t="str">
        <f>VLOOKUP(A381,DAY_8[],7,0)</f>
        <v>AI</v>
      </c>
      <c r="H381" s="5">
        <f>VLOOKUP(A381,DAY_8[],8,0)</f>
        <v>10</v>
      </c>
      <c r="I381" s="5">
        <f>VLOOKUP(A381,DAY_8[],10,0)</f>
        <v>75</v>
      </c>
      <c r="J381" s="5">
        <f>VLOOKUP(A381,DAY_8[],11,0)</f>
        <v>4.2</v>
      </c>
    </row>
    <row r="382" spans="1:10" x14ac:dyDescent="0.25">
      <c r="A382" s="2" t="s">
        <v>787</v>
      </c>
      <c r="B382" s="2" t="str">
        <f>VLOOKUP(A382,DAY_8[],2,0)</f>
        <v>FL250381</v>
      </c>
      <c r="C382" t="str">
        <f>VLOOKUP(A382,DAY_8[],3,0)</f>
        <v>MALE</v>
      </c>
      <c r="D382">
        <f>VLOOKUP(A382,DAY_8[],4,0)</f>
        <v>37</v>
      </c>
      <c r="E382" t="str">
        <f>VLOOKUP(A382,DAY_8[],5,0)</f>
        <v>ITALY</v>
      </c>
      <c r="F382" s="5" t="str">
        <f>VLOOKUP(A382,DAY_8[],6,0)</f>
        <v>ITALIAN</v>
      </c>
      <c r="G382" s="5" t="str">
        <f>VLOOKUP(A382,DAY_8[],7,0)</f>
        <v>MACHINE LEARNING</v>
      </c>
      <c r="H382" s="5">
        <f>VLOOKUP(A382,DAY_8[],8,0)</f>
        <v>5</v>
      </c>
      <c r="I382" s="5">
        <f>VLOOKUP(A382,DAY_8[],10,0)</f>
        <v>70</v>
      </c>
      <c r="J382" s="5">
        <f>VLOOKUP(A382,DAY_8[],11,0)</f>
        <v>4.8</v>
      </c>
    </row>
    <row r="383" spans="1:10" x14ac:dyDescent="0.25">
      <c r="A383" s="2" t="s">
        <v>789</v>
      </c>
      <c r="B383" s="2" t="str">
        <f>VLOOKUP(A383,DAY_8[],2,0)</f>
        <v>FL250382</v>
      </c>
      <c r="C383" t="str">
        <f>VLOOKUP(A383,DAY_8[],3,0)</f>
        <v>MALE</v>
      </c>
      <c r="D383">
        <f>VLOOKUP(A383,DAY_8[],4,0)</f>
        <v>39</v>
      </c>
      <c r="E383" t="str">
        <f>VLOOKUP(A383,DAY_8[],5,0)</f>
        <v>SPAIN</v>
      </c>
      <c r="F383" s="5" t="str">
        <f>VLOOKUP(A383,DAY_8[],6,0)</f>
        <v>SPANISH</v>
      </c>
      <c r="G383" s="5" t="str">
        <f>VLOOKUP(A383,DAY_8[],7,0)</f>
        <v>BLOCKCHAIN DEVELOPMENT</v>
      </c>
      <c r="H383" s="5">
        <f>VLOOKUP(A383,DAY_8[],8,0)</f>
        <v>18</v>
      </c>
      <c r="I383" s="5">
        <f>VLOOKUP(A383,DAY_8[],10,0)</f>
        <v>75</v>
      </c>
      <c r="J383" s="5">
        <f>VLOOKUP(A383,DAY_8[],11,0)</f>
        <v>4</v>
      </c>
    </row>
    <row r="384" spans="1:10" x14ac:dyDescent="0.25">
      <c r="A384" s="2" t="s">
        <v>791</v>
      </c>
      <c r="B384" s="2" t="str">
        <f>VLOOKUP(A384,DAY_8[],2,0)</f>
        <v>FL250383</v>
      </c>
      <c r="C384" t="str">
        <f>VLOOKUP(A384,DAY_8[],3,0)</f>
        <v>FEMALE</v>
      </c>
      <c r="D384">
        <f>VLOOKUP(A384,DAY_8[],4,0)</f>
        <v>46</v>
      </c>
      <c r="E384" t="str">
        <f>VLOOKUP(A384,DAY_8[],5,0)</f>
        <v>EGYPT</v>
      </c>
      <c r="F384" s="5" t="str">
        <f>VLOOKUP(A384,DAY_8[],6,0)</f>
        <v>ARABIC</v>
      </c>
      <c r="G384" s="5" t="str">
        <f>VLOOKUP(A384,DAY_8[],7,0)</f>
        <v>DATA ANALYSIS</v>
      </c>
      <c r="H384" s="5">
        <f>VLOOKUP(A384,DAY_8[],8,0)</f>
        <v>10</v>
      </c>
      <c r="I384" s="5">
        <f>VLOOKUP(A384,DAY_8[],10,0)</f>
        <v>20</v>
      </c>
      <c r="J384" s="5">
        <f>VLOOKUP(A384,DAY_8[],11,0)</f>
        <v>2.4</v>
      </c>
    </row>
    <row r="385" spans="1:10" x14ac:dyDescent="0.25">
      <c r="A385" s="2" t="s">
        <v>793</v>
      </c>
      <c r="B385" s="2" t="str">
        <f>VLOOKUP(A385,DAY_8[],2,0)</f>
        <v>FL250384</v>
      </c>
      <c r="C385" t="str">
        <f>VLOOKUP(A385,DAY_8[],3,0)</f>
        <v>FEMALE</v>
      </c>
      <c r="D385">
        <f>VLOOKUP(A385,DAY_8[],4,0)</f>
        <v>41</v>
      </c>
      <c r="E385" t="str">
        <f>VLOOKUP(A385,DAY_8[],5,0)</f>
        <v>UK</v>
      </c>
      <c r="F385" s="5" t="str">
        <f>VLOOKUP(A385,DAY_8[],6,0)</f>
        <v>ENGLISH</v>
      </c>
      <c r="G385" s="5" t="str">
        <f>VLOOKUP(A385,DAY_8[],7,0)</f>
        <v>UI/UX DESIGN</v>
      </c>
      <c r="H385" s="5">
        <f>VLOOKUP(A385,DAY_8[],8,0)</f>
        <v>0</v>
      </c>
      <c r="I385" s="5">
        <f>VLOOKUP(A385,DAY_8[],10,0)</f>
        <v>20</v>
      </c>
      <c r="J385" s="5">
        <f>VLOOKUP(A385,DAY_8[],11,0)</f>
        <v>4.8</v>
      </c>
    </row>
    <row r="386" spans="1:10" x14ac:dyDescent="0.25">
      <c r="A386" s="2" t="s">
        <v>795</v>
      </c>
      <c r="B386" s="2" t="str">
        <f>VLOOKUP(A386,DAY_8[],2,0)</f>
        <v>FL250385</v>
      </c>
      <c r="C386" t="str">
        <f>VLOOKUP(A386,DAY_8[],3,0)</f>
        <v>FEMALE</v>
      </c>
      <c r="D386">
        <f>VLOOKUP(A386,DAY_8[],4,0)</f>
        <v>39</v>
      </c>
      <c r="E386" t="str">
        <f>VLOOKUP(A386,DAY_8[],5,0)</f>
        <v>MEXICO</v>
      </c>
      <c r="F386" s="5" t="str">
        <f>VLOOKUP(A386,DAY_8[],6,0)</f>
        <v>SPANISH</v>
      </c>
      <c r="G386" s="5" t="str">
        <f>VLOOKUP(A386,DAY_8[],7,0)</f>
        <v>BLOCKCHAIN DEVELOPMENT</v>
      </c>
      <c r="H386" s="5">
        <f>VLOOKUP(A386,DAY_8[],8,0)</f>
        <v>21</v>
      </c>
      <c r="I386" s="5">
        <f>VLOOKUP(A386,DAY_8[],10,0)</f>
        <v>30</v>
      </c>
      <c r="J386" s="5">
        <f>VLOOKUP(A386,DAY_8[],11,0)</f>
        <v>4.7</v>
      </c>
    </row>
    <row r="387" spans="1:10" x14ac:dyDescent="0.25">
      <c r="A387" s="2" t="s">
        <v>797</v>
      </c>
      <c r="B387" s="2" t="str">
        <f>VLOOKUP(A387,DAY_8[],2,0)</f>
        <v>FL250386</v>
      </c>
      <c r="C387" t="str">
        <f>VLOOKUP(A387,DAY_8[],3,0)</f>
        <v>MALE</v>
      </c>
      <c r="D387">
        <f>VLOOKUP(A387,DAY_8[],4,0)</f>
        <v>59</v>
      </c>
      <c r="E387" t="str">
        <f>VLOOKUP(A387,DAY_8[],5,0)</f>
        <v>EGYPT</v>
      </c>
      <c r="F387" s="5" t="str">
        <f>VLOOKUP(A387,DAY_8[],6,0)</f>
        <v>ARABIC</v>
      </c>
      <c r="G387" s="5" t="str">
        <f>VLOOKUP(A387,DAY_8[],7,0)</f>
        <v>BLOCKCHAIN DEVELOPMENT</v>
      </c>
      <c r="H387" s="5">
        <f>VLOOKUP(A387,DAY_8[],8,0)</f>
        <v>25</v>
      </c>
      <c r="I387" s="5">
        <f>VLOOKUP(A387,DAY_8[],10,0)</f>
        <v>20</v>
      </c>
      <c r="J387" s="5">
        <f>VLOOKUP(A387,DAY_8[],11,0)</f>
        <v>4</v>
      </c>
    </row>
    <row r="388" spans="1:10" x14ac:dyDescent="0.25">
      <c r="A388" s="2" t="s">
        <v>799</v>
      </c>
      <c r="B388" s="2" t="str">
        <f>VLOOKUP(A388,DAY_8[],2,0)</f>
        <v>FL250387</v>
      </c>
      <c r="C388" t="str">
        <f>VLOOKUP(A388,DAY_8[],3,0)</f>
        <v>MALE</v>
      </c>
      <c r="D388">
        <f>VLOOKUP(A388,DAY_8[],4,0)</f>
        <v>21</v>
      </c>
      <c r="E388" t="str">
        <f>VLOOKUP(A388,DAY_8[],5,0)</f>
        <v>NETHERLANDS</v>
      </c>
      <c r="F388" s="5" t="str">
        <f>VLOOKUP(A388,DAY_8[],6,0)</f>
        <v>DUTCH</v>
      </c>
      <c r="G388" s="5" t="str">
        <f>VLOOKUP(A388,DAY_8[],7,0)</f>
        <v>DEVOPS</v>
      </c>
      <c r="H388" s="5">
        <f>VLOOKUP(A388,DAY_8[],8,0)</f>
        <v>0</v>
      </c>
      <c r="I388" s="5">
        <f>VLOOKUP(A388,DAY_8[],10,0)</f>
        <v>40</v>
      </c>
      <c r="J388" s="5">
        <f>VLOOKUP(A388,DAY_8[],11,0)</f>
        <v>4.0999999999999996</v>
      </c>
    </row>
    <row r="389" spans="1:10" x14ac:dyDescent="0.25">
      <c r="A389" s="2" t="s">
        <v>801</v>
      </c>
      <c r="B389" s="2" t="str">
        <f>VLOOKUP(A389,DAY_8[],2,0)</f>
        <v>FL250388</v>
      </c>
      <c r="C389" t="str">
        <f>VLOOKUP(A389,DAY_8[],3,0)</f>
        <v>FEMALE</v>
      </c>
      <c r="D389">
        <f>VLOOKUP(A389,DAY_8[],4,0)</f>
        <v>23</v>
      </c>
      <c r="E389" t="str">
        <f>VLOOKUP(A389,DAY_8[],5,0)</f>
        <v>CANADA</v>
      </c>
      <c r="F389" s="5" t="str">
        <f>VLOOKUP(A389,DAY_8[],6,0)</f>
        <v>ENGLISH</v>
      </c>
      <c r="G389" s="5" t="str">
        <f>VLOOKUP(A389,DAY_8[],7,0)</f>
        <v>DEVOPS</v>
      </c>
      <c r="H389" s="5">
        <f>VLOOKUP(A389,DAY_8[],8,0)</f>
        <v>5</v>
      </c>
      <c r="I389" s="5">
        <f>VLOOKUP(A389,DAY_8[],10,0)</f>
        <v>100</v>
      </c>
      <c r="J389" s="5">
        <f>VLOOKUP(A389,DAY_8[],11,0)</f>
        <v>3.2</v>
      </c>
    </row>
    <row r="390" spans="1:10" x14ac:dyDescent="0.25">
      <c r="A390" s="2" t="s">
        <v>803</v>
      </c>
      <c r="B390" s="2" t="str">
        <f>VLOOKUP(A390,DAY_8[],2,0)</f>
        <v>FL250389</v>
      </c>
      <c r="C390" t="str">
        <f>VLOOKUP(A390,DAY_8[],3,0)</f>
        <v>MALE</v>
      </c>
      <c r="D390">
        <f>VLOOKUP(A390,DAY_8[],4,0)</f>
        <v>27</v>
      </c>
      <c r="E390" t="str">
        <f>VLOOKUP(A390,DAY_8[],5,0)</f>
        <v>EGYPT</v>
      </c>
      <c r="F390" s="5" t="str">
        <f>VLOOKUP(A390,DAY_8[],6,0)</f>
        <v>ARABIC</v>
      </c>
      <c r="G390" s="5" t="str">
        <f>VLOOKUP(A390,DAY_8[],7,0)</f>
        <v>WEB DEVELOPMENT</v>
      </c>
      <c r="H390" s="5">
        <f>VLOOKUP(A390,DAY_8[],8,0)</f>
        <v>1</v>
      </c>
      <c r="I390" s="5">
        <f>VLOOKUP(A390,DAY_8[],10,0)</f>
        <v>20</v>
      </c>
      <c r="J390" s="5">
        <f>VLOOKUP(A390,DAY_8[],11,0)</f>
        <v>4.3</v>
      </c>
    </row>
    <row r="391" spans="1:10" x14ac:dyDescent="0.25">
      <c r="A391" s="2" t="s">
        <v>805</v>
      </c>
      <c r="B391" s="2" t="str">
        <f>VLOOKUP(A391,DAY_8[],2,0)</f>
        <v>FL250390</v>
      </c>
      <c r="C391" t="str">
        <f>VLOOKUP(A391,DAY_8[],3,0)</f>
        <v>MALE</v>
      </c>
      <c r="D391">
        <f>VLOOKUP(A391,DAY_8[],4,0)</f>
        <v>27</v>
      </c>
      <c r="E391" t="str">
        <f>VLOOKUP(A391,DAY_8[],5,0)</f>
        <v>CHINA</v>
      </c>
      <c r="F391" s="5" t="str">
        <f>VLOOKUP(A391,DAY_8[],6,0)</f>
        <v>MANDARIN</v>
      </c>
      <c r="G391" s="5" t="str">
        <f>VLOOKUP(A391,DAY_8[],7,0)</f>
        <v>CYBERSECURITY</v>
      </c>
      <c r="H391" s="5">
        <f>VLOOKUP(A391,DAY_8[],8,0)</f>
        <v>4</v>
      </c>
      <c r="I391" s="5">
        <f>VLOOKUP(A391,DAY_8[],10,0)</f>
        <v>40</v>
      </c>
      <c r="J391" s="5">
        <f>VLOOKUP(A391,DAY_8[],11,0)</f>
        <v>4.4000000000000004</v>
      </c>
    </row>
    <row r="392" spans="1:10" x14ac:dyDescent="0.25">
      <c r="A392" s="2" t="s">
        <v>807</v>
      </c>
      <c r="B392" s="2" t="str">
        <f>VLOOKUP(A392,DAY_8[],2,0)</f>
        <v>FL250391</v>
      </c>
      <c r="C392" t="str">
        <f>VLOOKUP(A392,DAY_8[],3,0)</f>
        <v>FEMALE</v>
      </c>
      <c r="D392">
        <f>VLOOKUP(A392,DAY_8[],4,0)</f>
        <v>48</v>
      </c>
      <c r="E392" t="str">
        <f>VLOOKUP(A392,DAY_8[],5,0)</f>
        <v>SOUTH AFRICA</v>
      </c>
      <c r="F392" s="5" t="str">
        <f>VLOOKUP(A392,DAY_8[],6,0)</f>
        <v>AFRIKAANS</v>
      </c>
      <c r="G392" s="5" t="str">
        <f>VLOOKUP(A392,DAY_8[],7,0)</f>
        <v>DATA ANALYSIS</v>
      </c>
      <c r="H392" s="5">
        <f>VLOOKUP(A392,DAY_8[],8,0)</f>
        <v>21</v>
      </c>
      <c r="I392" s="5">
        <f>VLOOKUP(A392,DAY_8[],10,0)</f>
        <v>40</v>
      </c>
      <c r="J392" s="5">
        <f>VLOOKUP(A392,DAY_8[],11,0)</f>
        <v>2.2999999999999998</v>
      </c>
    </row>
    <row r="393" spans="1:10" x14ac:dyDescent="0.25">
      <c r="A393" s="2" t="s">
        <v>809</v>
      </c>
      <c r="B393" s="2" t="str">
        <f>VLOOKUP(A393,DAY_8[],2,0)</f>
        <v>FL250392</v>
      </c>
      <c r="C393" t="str">
        <f>VLOOKUP(A393,DAY_8[],3,0)</f>
        <v>MALE</v>
      </c>
      <c r="D393">
        <f>VLOOKUP(A393,DAY_8[],4,0)</f>
        <v>21</v>
      </c>
      <c r="E393" t="str">
        <f>VLOOKUP(A393,DAY_8[],5,0)</f>
        <v>SOUTH AFRICA</v>
      </c>
      <c r="F393" s="5" t="str">
        <f>VLOOKUP(A393,DAY_8[],6,0)</f>
        <v>AFRIKAANS</v>
      </c>
      <c r="G393" s="5" t="str">
        <f>VLOOKUP(A393,DAY_8[],7,0)</f>
        <v>AI</v>
      </c>
      <c r="H393" s="5">
        <f>VLOOKUP(A393,DAY_8[],8,0)</f>
        <v>1</v>
      </c>
      <c r="I393" s="5">
        <f>VLOOKUP(A393,DAY_8[],10,0)</f>
        <v>20</v>
      </c>
      <c r="J393" s="5">
        <f>VLOOKUP(A393,DAY_8[],11,0)</f>
        <v>2.4</v>
      </c>
    </row>
    <row r="394" spans="1:10" x14ac:dyDescent="0.25">
      <c r="A394" s="2" t="s">
        <v>811</v>
      </c>
      <c r="B394" s="2" t="str">
        <f>VLOOKUP(A394,DAY_8[],2,0)</f>
        <v>FL250393</v>
      </c>
      <c r="C394" t="str">
        <f>VLOOKUP(A394,DAY_8[],3,0)</f>
        <v>MALE</v>
      </c>
      <c r="D394">
        <f>VLOOKUP(A394,DAY_8[],4,0)</f>
        <v>37</v>
      </c>
      <c r="E394" t="str">
        <f>VLOOKUP(A394,DAY_8[],5,0)</f>
        <v>ITALY</v>
      </c>
      <c r="F394" s="5" t="str">
        <f>VLOOKUP(A394,DAY_8[],6,0)</f>
        <v>ITALIAN</v>
      </c>
      <c r="G394" s="5" t="str">
        <f>VLOOKUP(A394,DAY_8[],7,0)</f>
        <v>DEVOPS</v>
      </c>
      <c r="H394" s="5">
        <f>VLOOKUP(A394,DAY_8[],8,0)</f>
        <v>10</v>
      </c>
      <c r="I394" s="5">
        <f>VLOOKUP(A394,DAY_8[],10,0)</f>
        <v>50</v>
      </c>
      <c r="J394" s="5">
        <f>VLOOKUP(A394,DAY_8[],11,0)</f>
        <v>4.5999999999999996</v>
      </c>
    </row>
    <row r="395" spans="1:10" x14ac:dyDescent="0.25">
      <c r="A395" s="2" t="s">
        <v>813</v>
      </c>
      <c r="B395" s="2" t="str">
        <f>VLOOKUP(A395,DAY_8[],2,0)</f>
        <v>FL250394</v>
      </c>
      <c r="C395" t="str">
        <f>VLOOKUP(A395,DAY_8[],3,0)</f>
        <v>FEMALE</v>
      </c>
      <c r="D395">
        <f>VLOOKUP(A395,DAY_8[],4,0)</f>
        <v>31</v>
      </c>
      <c r="E395" t="str">
        <f>VLOOKUP(A395,DAY_8[],5,0)</f>
        <v>GERMANY</v>
      </c>
      <c r="F395" s="5" t="str">
        <f>VLOOKUP(A395,DAY_8[],6,0)</f>
        <v>GERMANY</v>
      </c>
      <c r="G395" s="5" t="str">
        <f>VLOOKUP(A395,DAY_8[],7,0)</f>
        <v>UI/UX DESIGN</v>
      </c>
      <c r="H395" s="5">
        <f>VLOOKUP(A395,DAY_8[],8,0)</f>
        <v>10</v>
      </c>
      <c r="I395" s="5">
        <f>VLOOKUP(A395,DAY_8[],10,0)</f>
        <v>50</v>
      </c>
      <c r="J395" s="5">
        <f>VLOOKUP(A395,DAY_8[],11,0)</f>
        <v>0</v>
      </c>
    </row>
    <row r="396" spans="1:10" x14ac:dyDescent="0.25">
      <c r="A396" s="2" t="s">
        <v>815</v>
      </c>
      <c r="B396" s="2" t="str">
        <f>VLOOKUP(A396,DAY_8[],2,0)</f>
        <v>FL250395</v>
      </c>
      <c r="C396" t="str">
        <f>VLOOKUP(A396,DAY_8[],3,0)</f>
        <v>FEMALE</v>
      </c>
      <c r="D396">
        <f>VLOOKUP(A396,DAY_8[],4,0)</f>
        <v>41</v>
      </c>
      <c r="E396" t="str">
        <f>VLOOKUP(A396,DAY_8[],5,0)</f>
        <v>EGYPT</v>
      </c>
      <c r="F396" s="5" t="str">
        <f>VLOOKUP(A396,DAY_8[],6,0)</f>
        <v>ARABIC</v>
      </c>
      <c r="G396" s="5" t="str">
        <f>VLOOKUP(A396,DAY_8[],7,0)</f>
        <v>BLOCKCHAIN DEVELOPMENT</v>
      </c>
      <c r="H396" s="5">
        <f>VLOOKUP(A396,DAY_8[],8,0)</f>
        <v>21</v>
      </c>
      <c r="I396" s="5">
        <f>VLOOKUP(A396,DAY_8[],10,0)</f>
        <v>70</v>
      </c>
      <c r="J396" s="5">
        <f>VLOOKUP(A396,DAY_8[],11,0)</f>
        <v>0</v>
      </c>
    </row>
    <row r="397" spans="1:10" x14ac:dyDescent="0.25">
      <c r="A397" s="2" t="s">
        <v>1072</v>
      </c>
      <c r="B397" s="2" t="str">
        <f>VLOOKUP(A397,DAY_8[],2,0)</f>
        <v>FL250396</v>
      </c>
      <c r="C397" t="str">
        <f>VLOOKUP(A397,DAY_8[],3,0)</f>
        <v>MALE</v>
      </c>
      <c r="D397">
        <f>VLOOKUP(A397,DAY_8[],4,0)</f>
        <v>31</v>
      </c>
      <c r="E397" t="str">
        <f>VLOOKUP(A397,DAY_8[],5,0)</f>
        <v>RUSSIA</v>
      </c>
      <c r="F397" s="5" t="str">
        <f>VLOOKUP(A397,DAY_8[],6,0)</f>
        <v>RUSSIAN</v>
      </c>
      <c r="G397" s="5" t="str">
        <f>VLOOKUP(A397,DAY_8[],7,0)</f>
        <v>CYBERSECURITY</v>
      </c>
      <c r="H397" s="5">
        <f>VLOOKUP(A397,DAY_8[],8,0)</f>
        <v>0</v>
      </c>
      <c r="I397" s="5">
        <f>VLOOKUP(A397,DAY_8[],10,0)</f>
        <v>20</v>
      </c>
      <c r="J397" s="5">
        <f>VLOOKUP(A397,DAY_8[],11,0)</f>
        <v>4.2</v>
      </c>
    </row>
    <row r="398" spans="1:10" x14ac:dyDescent="0.25">
      <c r="A398" s="2" t="s">
        <v>818</v>
      </c>
      <c r="B398" s="2" t="str">
        <f>VLOOKUP(A398,DAY_8[],2,0)</f>
        <v>FL250397</v>
      </c>
      <c r="C398" t="str">
        <f>VLOOKUP(A398,DAY_8[],3,0)</f>
        <v>FEMALE</v>
      </c>
      <c r="D398">
        <f>VLOOKUP(A398,DAY_8[],4,0)</f>
        <v>58</v>
      </c>
      <c r="E398" t="str">
        <f>VLOOKUP(A398,DAY_8[],5,0)</f>
        <v>ARGENTINA</v>
      </c>
      <c r="F398" s="5" t="str">
        <f>VLOOKUP(A398,DAY_8[],6,0)</f>
        <v>SPANISH</v>
      </c>
      <c r="G398" s="5" t="str">
        <f>VLOOKUP(A398,DAY_8[],7,0)</f>
        <v>DATA ANALYSIS</v>
      </c>
      <c r="H398" s="5">
        <f>VLOOKUP(A398,DAY_8[],8,0)</f>
        <v>0</v>
      </c>
      <c r="I398" s="5">
        <f>VLOOKUP(A398,DAY_8[],10,0)</f>
        <v>50</v>
      </c>
      <c r="J398" s="5">
        <f>VLOOKUP(A398,DAY_8[],11,0)</f>
        <v>2.2999999999999998</v>
      </c>
    </row>
    <row r="399" spans="1:10" x14ac:dyDescent="0.25">
      <c r="A399" s="2" t="s">
        <v>820</v>
      </c>
      <c r="B399" s="2" t="str">
        <f>VLOOKUP(A399,DAY_8[],2,0)</f>
        <v>FL250398</v>
      </c>
      <c r="C399" t="str">
        <f>VLOOKUP(A399,DAY_8[],3,0)</f>
        <v>FEMALE</v>
      </c>
      <c r="D399">
        <f>VLOOKUP(A399,DAY_8[],4,0)</f>
        <v>45</v>
      </c>
      <c r="E399" t="str">
        <f>VLOOKUP(A399,DAY_8[],5,0)</f>
        <v>NETHERLANDS</v>
      </c>
      <c r="F399" s="5" t="str">
        <f>VLOOKUP(A399,DAY_8[],6,0)</f>
        <v>DUTCH</v>
      </c>
      <c r="G399" s="5" t="str">
        <f>VLOOKUP(A399,DAY_8[],7,0)</f>
        <v>DATA ANALYSIS</v>
      </c>
      <c r="H399" s="5">
        <f>VLOOKUP(A399,DAY_8[],8,0)</f>
        <v>17</v>
      </c>
      <c r="I399" s="5">
        <f>VLOOKUP(A399,DAY_8[],10,0)</f>
        <v>50</v>
      </c>
      <c r="J399" s="5">
        <f>VLOOKUP(A399,DAY_8[],11,0)</f>
        <v>4.7</v>
      </c>
    </row>
    <row r="400" spans="1:10" x14ac:dyDescent="0.25">
      <c r="A400" s="2" t="s">
        <v>822</v>
      </c>
      <c r="B400" s="2" t="str">
        <f>VLOOKUP(A400,DAY_8[],2,0)</f>
        <v>FL250399</v>
      </c>
      <c r="C400" t="str">
        <f>VLOOKUP(A400,DAY_8[],3,0)</f>
        <v>MALE</v>
      </c>
      <c r="D400">
        <f>VLOOKUP(A400,DAY_8[],4,0)</f>
        <v>51</v>
      </c>
      <c r="E400" t="str">
        <f>VLOOKUP(A400,DAY_8[],5,0)</f>
        <v>SOUTH KOREA</v>
      </c>
      <c r="F400" s="5" t="str">
        <f>VLOOKUP(A400,DAY_8[],6,0)</f>
        <v>KOREAN</v>
      </c>
      <c r="G400" s="5" t="str">
        <f>VLOOKUP(A400,DAY_8[],7,0)</f>
        <v>CYBERSECURITY</v>
      </c>
      <c r="H400" s="5">
        <f>VLOOKUP(A400,DAY_8[],8,0)</f>
        <v>5</v>
      </c>
      <c r="I400" s="5">
        <f>VLOOKUP(A400,DAY_8[],10,0)</f>
        <v>70</v>
      </c>
      <c r="J400" s="5">
        <f>VLOOKUP(A400,DAY_8[],11,0)</f>
        <v>3</v>
      </c>
    </row>
    <row r="401" spans="1:10" x14ac:dyDescent="0.25">
      <c r="A401" s="2" t="s">
        <v>824</v>
      </c>
      <c r="B401" s="2" t="str">
        <f>VLOOKUP(A401,DAY_8[],2,0)</f>
        <v>FL250400</v>
      </c>
      <c r="C401" t="str">
        <f>VLOOKUP(A401,DAY_8[],3,0)</f>
        <v>MALE</v>
      </c>
      <c r="D401">
        <f>VLOOKUP(A401,DAY_8[],4,0)</f>
        <v>54</v>
      </c>
      <c r="E401" t="str">
        <f>VLOOKUP(A401,DAY_8[],5,0)</f>
        <v>US</v>
      </c>
      <c r="F401" s="5" t="str">
        <f>VLOOKUP(A401,DAY_8[],6,0)</f>
        <v>ENGLISH</v>
      </c>
      <c r="G401" s="5" t="str">
        <f>VLOOKUP(A401,DAY_8[],7,0)</f>
        <v>UI/UX DESIGN</v>
      </c>
      <c r="H401" s="5">
        <f>VLOOKUP(A401,DAY_8[],8,0)</f>
        <v>3</v>
      </c>
      <c r="I401" s="5">
        <f>VLOOKUP(A401,DAY_8[],10,0)</f>
        <v>30</v>
      </c>
      <c r="J401" s="5">
        <f>VLOOKUP(A401,DAY_8[],11,0)</f>
        <v>2.4</v>
      </c>
    </row>
    <row r="402" spans="1:10" x14ac:dyDescent="0.25">
      <c r="A402" s="2" t="s">
        <v>826</v>
      </c>
      <c r="B402" s="2" t="str">
        <f>VLOOKUP(A402,DAY_8[],2,0)</f>
        <v>FL250401</v>
      </c>
      <c r="C402" t="str">
        <f>VLOOKUP(A402,DAY_8[],3,0)</f>
        <v>MALE</v>
      </c>
      <c r="D402">
        <f>VLOOKUP(A402,DAY_8[],4,0)</f>
        <v>22</v>
      </c>
      <c r="E402" t="str">
        <f>VLOOKUP(A402,DAY_8[],5,0)</f>
        <v>RUSSIA</v>
      </c>
      <c r="F402" s="5" t="str">
        <f>VLOOKUP(A402,DAY_8[],6,0)</f>
        <v>RUSSIAN</v>
      </c>
      <c r="G402" s="5" t="str">
        <f>VLOOKUP(A402,DAY_8[],7,0)</f>
        <v>DATA ANALYSIS</v>
      </c>
      <c r="H402" s="5">
        <f>VLOOKUP(A402,DAY_8[],8,0)</f>
        <v>1</v>
      </c>
      <c r="I402" s="5">
        <f>VLOOKUP(A402,DAY_8[],10,0)</f>
        <v>20</v>
      </c>
      <c r="J402" s="5">
        <f>VLOOKUP(A402,DAY_8[],11,0)</f>
        <v>1.7</v>
      </c>
    </row>
    <row r="403" spans="1:10" x14ac:dyDescent="0.25">
      <c r="A403" s="2" t="s">
        <v>828</v>
      </c>
      <c r="B403" s="2" t="str">
        <f>VLOOKUP(A403,DAY_8[],2,0)</f>
        <v>FL250402</v>
      </c>
      <c r="C403" t="str">
        <f>VLOOKUP(A403,DAY_8[],3,0)</f>
        <v>MALE</v>
      </c>
      <c r="D403">
        <f>VLOOKUP(A403,DAY_8[],4,0)</f>
        <v>36</v>
      </c>
      <c r="E403" t="str">
        <f>VLOOKUP(A403,DAY_8[],5,0)</f>
        <v>TURKEY</v>
      </c>
      <c r="F403" s="5" t="str">
        <f>VLOOKUP(A403,DAY_8[],6,0)</f>
        <v>TURKISH</v>
      </c>
      <c r="G403" s="5" t="str">
        <f>VLOOKUP(A403,DAY_8[],7,0)</f>
        <v>CYBERSECURITY</v>
      </c>
      <c r="H403" s="5">
        <f>VLOOKUP(A403,DAY_8[],8,0)</f>
        <v>2</v>
      </c>
      <c r="I403" s="5">
        <f>VLOOKUP(A403,DAY_8[],10,0)</f>
        <v>75</v>
      </c>
      <c r="J403" s="5">
        <f>VLOOKUP(A403,DAY_8[],11,0)</f>
        <v>0</v>
      </c>
    </row>
    <row r="404" spans="1:10" x14ac:dyDescent="0.25">
      <c r="A404" s="2" t="s">
        <v>830</v>
      </c>
      <c r="B404" s="2" t="str">
        <f>VLOOKUP(A404,DAY_8[],2,0)</f>
        <v>FL250403</v>
      </c>
      <c r="C404" t="str">
        <f>VLOOKUP(A404,DAY_8[],3,0)</f>
        <v>MALE</v>
      </c>
      <c r="D404">
        <f>VLOOKUP(A404,DAY_8[],4,0)</f>
        <v>50</v>
      </c>
      <c r="E404" t="str">
        <f>VLOOKUP(A404,DAY_8[],5,0)</f>
        <v>GERMANY</v>
      </c>
      <c r="F404" s="5" t="str">
        <f>VLOOKUP(A404,DAY_8[],6,0)</f>
        <v>GERMANY</v>
      </c>
      <c r="G404" s="5" t="str">
        <f>VLOOKUP(A404,DAY_8[],7,0)</f>
        <v>DEVOPS</v>
      </c>
      <c r="H404" s="5">
        <f>VLOOKUP(A404,DAY_8[],8,0)</f>
        <v>32</v>
      </c>
      <c r="I404" s="5">
        <f>VLOOKUP(A404,DAY_8[],10,0)</f>
        <v>30</v>
      </c>
      <c r="J404" s="5">
        <f>VLOOKUP(A404,DAY_8[],11,0)</f>
        <v>2.4</v>
      </c>
    </row>
    <row r="405" spans="1:10" x14ac:dyDescent="0.25">
      <c r="A405" s="2" t="s">
        <v>832</v>
      </c>
      <c r="B405" s="2" t="str">
        <f>VLOOKUP(A405,DAY_8[],2,0)</f>
        <v>FL250404</v>
      </c>
      <c r="C405" t="str">
        <f>VLOOKUP(A405,DAY_8[],3,0)</f>
        <v>FEMALE</v>
      </c>
      <c r="D405">
        <f>VLOOKUP(A405,DAY_8[],4,0)</f>
        <v>41</v>
      </c>
      <c r="E405" t="str">
        <f>VLOOKUP(A405,DAY_8[],5,0)</f>
        <v>AUSTRALIA</v>
      </c>
      <c r="F405" s="5" t="str">
        <f>VLOOKUP(A405,DAY_8[],6,0)</f>
        <v>ENGLISH</v>
      </c>
      <c r="G405" s="5" t="str">
        <f>VLOOKUP(A405,DAY_8[],7,0)</f>
        <v>BLOCKCHAIN DEVELOPMENT</v>
      </c>
      <c r="H405" s="5">
        <f>VLOOKUP(A405,DAY_8[],8,0)</f>
        <v>14</v>
      </c>
      <c r="I405" s="5">
        <f>VLOOKUP(A405,DAY_8[],10,0)</f>
        <v>30</v>
      </c>
      <c r="J405" s="5">
        <f>VLOOKUP(A405,DAY_8[],11,0)</f>
        <v>0</v>
      </c>
    </row>
    <row r="406" spans="1:10" x14ac:dyDescent="0.25">
      <c r="A406" s="2" t="s">
        <v>834</v>
      </c>
      <c r="B406" s="2" t="str">
        <f>VLOOKUP(A406,DAY_8[],2,0)</f>
        <v>FL250405</v>
      </c>
      <c r="C406" t="str">
        <f>VLOOKUP(A406,DAY_8[],3,0)</f>
        <v>MALE</v>
      </c>
      <c r="D406">
        <f>VLOOKUP(A406,DAY_8[],4,0)</f>
        <v>41</v>
      </c>
      <c r="E406" t="str">
        <f>VLOOKUP(A406,DAY_8[],5,0)</f>
        <v>SOUTH AFRICA</v>
      </c>
      <c r="F406" s="5" t="str">
        <f>VLOOKUP(A406,DAY_8[],6,0)</f>
        <v>AFRIKAANS</v>
      </c>
      <c r="G406" s="5" t="str">
        <f>VLOOKUP(A406,DAY_8[],7,0)</f>
        <v>WEB DEVELOPMENT</v>
      </c>
      <c r="H406" s="5">
        <f>VLOOKUP(A406,DAY_8[],8,0)</f>
        <v>10</v>
      </c>
      <c r="I406" s="5">
        <f>VLOOKUP(A406,DAY_8[],10,0)</f>
        <v>20</v>
      </c>
      <c r="J406" s="5">
        <f>VLOOKUP(A406,DAY_8[],11,0)</f>
        <v>1.8</v>
      </c>
    </row>
    <row r="407" spans="1:10" x14ac:dyDescent="0.25">
      <c r="A407" s="2" t="s">
        <v>836</v>
      </c>
      <c r="B407" s="2" t="str">
        <f>VLOOKUP(A407,DAY_8[],2,0)</f>
        <v>FL250406</v>
      </c>
      <c r="C407" t="str">
        <f>VLOOKUP(A407,DAY_8[],3,0)</f>
        <v>FEMALE</v>
      </c>
      <c r="D407">
        <f>VLOOKUP(A407,DAY_8[],4,0)</f>
        <v>51</v>
      </c>
      <c r="E407" t="str">
        <f>VLOOKUP(A407,DAY_8[],5,0)</f>
        <v>NETHERLANDS</v>
      </c>
      <c r="F407" s="5" t="str">
        <f>VLOOKUP(A407,DAY_8[],6,0)</f>
        <v>DUTCH</v>
      </c>
      <c r="G407" s="5" t="str">
        <f>VLOOKUP(A407,DAY_8[],7,0)</f>
        <v>CYBERSECURITY</v>
      </c>
      <c r="H407" s="5">
        <f>VLOOKUP(A407,DAY_8[],8,0)</f>
        <v>27</v>
      </c>
      <c r="I407" s="5">
        <f>VLOOKUP(A407,DAY_8[],10,0)</f>
        <v>50</v>
      </c>
      <c r="J407" s="5">
        <f>VLOOKUP(A407,DAY_8[],11,0)</f>
        <v>0</v>
      </c>
    </row>
    <row r="408" spans="1:10" x14ac:dyDescent="0.25">
      <c r="A408" s="2" t="s">
        <v>838</v>
      </c>
      <c r="B408" s="2" t="str">
        <f>VLOOKUP(A408,DAY_8[],2,0)</f>
        <v>FL250407</v>
      </c>
      <c r="C408" t="str">
        <f>VLOOKUP(A408,DAY_8[],3,0)</f>
        <v>MALE</v>
      </c>
      <c r="D408">
        <f>VLOOKUP(A408,DAY_8[],4,0)</f>
        <v>21</v>
      </c>
      <c r="E408" t="str">
        <f>VLOOKUP(A408,DAY_8[],5,0)</f>
        <v>FRANCE</v>
      </c>
      <c r="F408" s="5" t="str">
        <f>VLOOKUP(A408,DAY_8[],6,0)</f>
        <v>FRENCH</v>
      </c>
      <c r="G408" s="5" t="str">
        <f>VLOOKUP(A408,DAY_8[],7,0)</f>
        <v>AI</v>
      </c>
      <c r="H408" s="5">
        <f>VLOOKUP(A408,DAY_8[],8,0)</f>
        <v>2</v>
      </c>
      <c r="I408" s="5">
        <f>VLOOKUP(A408,DAY_8[],10,0)</f>
        <v>30</v>
      </c>
      <c r="J408" s="5">
        <f>VLOOKUP(A408,DAY_8[],11,0)</f>
        <v>3.8</v>
      </c>
    </row>
    <row r="409" spans="1:10" x14ac:dyDescent="0.25">
      <c r="A409" s="2" t="s">
        <v>840</v>
      </c>
      <c r="B409" s="2" t="str">
        <f>VLOOKUP(A409,DAY_8[],2,0)</f>
        <v>FL250408</v>
      </c>
      <c r="C409" t="str">
        <f>VLOOKUP(A409,DAY_8[],3,0)</f>
        <v>MALE</v>
      </c>
      <c r="D409">
        <f>VLOOKUP(A409,DAY_8[],4,0)</f>
        <v>51</v>
      </c>
      <c r="E409" t="str">
        <f>VLOOKUP(A409,DAY_8[],5,0)</f>
        <v>JAPAN</v>
      </c>
      <c r="F409" s="5" t="str">
        <f>VLOOKUP(A409,DAY_8[],6,0)</f>
        <v>JAPANESE</v>
      </c>
      <c r="G409" s="5" t="str">
        <f>VLOOKUP(A409,DAY_8[],7,0)</f>
        <v>AI</v>
      </c>
      <c r="H409" s="5">
        <f>VLOOKUP(A409,DAY_8[],8,0)</f>
        <v>33</v>
      </c>
      <c r="I409" s="5">
        <f>VLOOKUP(A409,DAY_8[],10,0)</f>
        <v>40</v>
      </c>
      <c r="J409" s="5">
        <f>VLOOKUP(A409,DAY_8[],11,0)</f>
        <v>0</v>
      </c>
    </row>
    <row r="410" spans="1:10" x14ac:dyDescent="0.25">
      <c r="A410" s="2" t="s">
        <v>842</v>
      </c>
      <c r="B410" s="2" t="str">
        <f>VLOOKUP(A410,DAY_8[],2,0)</f>
        <v>FL250409</v>
      </c>
      <c r="C410" t="str">
        <f>VLOOKUP(A410,DAY_8[],3,0)</f>
        <v>FEMALE</v>
      </c>
      <c r="D410">
        <f>VLOOKUP(A410,DAY_8[],4,0)</f>
        <v>37</v>
      </c>
      <c r="E410" t="str">
        <f>VLOOKUP(A410,DAY_8[],5,0)</f>
        <v>INDONESIA</v>
      </c>
      <c r="F410" s="5" t="str">
        <f>VLOOKUP(A410,DAY_8[],6,0)</f>
        <v>INDONESIAN</v>
      </c>
      <c r="G410" s="5" t="str">
        <f>VLOOKUP(A410,DAY_8[],7,0)</f>
        <v>GRAPHIC DESIGN</v>
      </c>
      <c r="H410" s="5">
        <f>VLOOKUP(A410,DAY_8[],8,0)</f>
        <v>11</v>
      </c>
      <c r="I410" s="5">
        <f>VLOOKUP(A410,DAY_8[],10,0)</f>
        <v>40</v>
      </c>
      <c r="J410" s="5">
        <f>VLOOKUP(A410,DAY_8[],11,0)</f>
        <v>3.6</v>
      </c>
    </row>
    <row r="411" spans="1:10" x14ac:dyDescent="0.25">
      <c r="A411" s="2" t="s">
        <v>844</v>
      </c>
      <c r="B411" s="2" t="str">
        <f>VLOOKUP(A411,DAY_8[],2,0)</f>
        <v>FL250410</v>
      </c>
      <c r="C411" t="str">
        <f>VLOOKUP(A411,DAY_8[],3,0)</f>
        <v>FEMALE</v>
      </c>
      <c r="D411">
        <f>VLOOKUP(A411,DAY_8[],4,0)</f>
        <v>20</v>
      </c>
      <c r="E411" t="str">
        <f>VLOOKUP(A411,DAY_8[],5,0)</f>
        <v>SPAIN</v>
      </c>
      <c r="F411" s="5" t="str">
        <f>VLOOKUP(A411,DAY_8[],6,0)</f>
        <v>SPANISH</v>
      </c>
      <c r="G411" s="5" t="str">
        <f>VLOOKUP(A411,DAY_8[],7,0)</f>
        <v>GRAPHIC DESIGN</v>
      </c>
      <c r="H411" s="5">
        <f>VLOOKUP(A411,DAY_8[],8,0)</f>
        <v>2</v>
      </c>
      <c r="I411" s="5">
        <f>VLOOKUP(A411,DAY_8[],10,0)</f>
        <v>30</v>
      </c>
      <c r="J411" s="5">
        <f>VLOOKUP(A411,DAY_8[],11,0)</f>
        <v>0</v>
      </c>
    </row>
    <row r="412" spans="1:10" x14ac:dyDescent="0.25">
      <c r="A412" s="2" t="s">
        <v>846</v>
      </c>
      <c r="B412" s="2" t="str">
        <f>VLOOKUP(A412,DAY_8[],2,0)</f>
        <v>FL250411</v>
      </c>
      <c r="C412" t="str">
        <f>VLOOKUP(A412,DAY_8[],3,0)</f>
        <v>FEMALE</v>
      </c>
      <c r="D412">
        <f>VLOOKUP(A412,DAY_8[],4,0)</f>
        <v>50</v>
      </c>
      <c r="E412" t="str">
        <f>VLOOKUP(A412,DAY_8[],5,0)</f>
        <v>AUSTRALIA</v>
      </c>
      <c r="F412" s="5" t="str">
        <f>VLOOKUP(A412,DAY_8[],6,0)</f>
        <v>ENGLISH</v>
      </c>
      <c r="G412" s="5" t="str">
        <f>VLOOKUP(A412,DAY_8[],7,0)</f>
        <v>WEB DEVELOPMENT</v>
      </c>
      <c r="H412" s="5">
        <f>VLOOKUP(A412,DAY_8[],8,0)</f>
        <v>31</v>
      </c>
      <c r="I412" s="5">
        <f>VLOOKUP(A412,DAY_8[],10,0)</f>
        <v>50</v>
      </c>
      <c r="J412" s="5">
        <f>VLOOKUP(A412,DAY_8[],11,0)</f>
        <v>4.0999999999999996</v>
      </c>
    </row>
    <row r="413" spans="1:10" x14ac:dyDescent="0.25">
      <c r="A413" s="2" t="s">
        <v>848</v>
      </c>
      <c r="B413" s="2" t="str">
        <f>VLOOKUP(A413,DAY_8[],2,0)</f>
        <v>FL250412</v>
      </c>
      <c r="C413" t="str">
        <f>VLOOKUP(A413,DAY_8[],3,0)</f>
        <v>FEMALE</v>
      </c>
      <c r="D413">
        <f>VLOOKUP(A413,DAY_8[],4,0)</f>
        <v>58</v>
      </c>
      <c r="E413" t="str">
        <f>VLOOKUP(A413,DAY_8[],5,0)</f>
        <v>TURKEY</v>
      </c>
      <c r="F413" s="5" t="str">
        <f>VLOOKUP(A413,DAY_8[],6,0)</f>
        <v>TURKISH</v>
      </c>
      <c r="G413" s="5" t="str">
        <f>VLOOKUP(A413,DAY_8[],7,0)</f>
        <v>GRAPHIC DESIGN</v>
      </c>
      <c r="H413" s="5">
        <f>VLOOKUP(A413,DAY_8[],8,0)</f>
        <v>17</v>
      </c>
      <c r="I413" s="5">
        <f>VLOOKUP(A413,DAY_8[],10,0)</f>
        <v>50</v>
      </c>
      <c r="J413" s="5">
        <f>VLOOKUP(A413,DAY_8[],11,0)</f>
        <v>2.6</v>
      </c>
    </row>
    <row r="414" spans="1:10" x14ac:dyDescent="0.25">
      <c r="A414" s="2" t="s">
        <v>850</v>
      </c>
      <c r="B414" s="2" t="str">
        <f>VLOOKUP(A414,DAY_8[],2,0)</f>
        <v>FL250413</v>
      </c>
      <c r="C414" t="str">
        <f>VLOOKUP(A414,DAY_8[],3,0)</f>
        <v>FEMALE</v>
      </c>
      <c r="D414">
        <f>VLOOKUP(A414,DAY_8[],4,0)</f>
        <v>40</v>
      </c>
      <c r="E414" t="str">
        <f>VLOOKUP(A414,DAY_8[],5,0)</f>
        <v>BRAZIL</v>
      </c>
      <c r="F414" s="5" t="str">
        <f>VLOOKUP(A414,DAY_8[],6,0)</f>
        <v>PORTUGUESE</v>
      </c>
      <c r="G414" s="5" t="str">
        <f>VLOOKUP(A414,DAY_8[],7,0)</f>
        <v>UI/UX DESIGN</v>
      </c>
      <c r="H414" s="5">
        <f>VLOOKUP(A414,DAY_8[],8,0)</f>
        <v>2</v>
      </c>
      <c r="I414" s="5">
        <f>VLOOKUP(A414,DAY_8[],10,0)</f>
        <v>100</v>
      </c>
      <c r="J414" s="5">
        <f>VLOOKUP(A414,DAY_8[],11,0)</f>
        <v>0</v>
      </c>
    </row>
    <row r="415" spans="1:10" x14ac:dyDescent="0.25">
      <c r="A415" s="2" t="s">
        <v>852</v>
      </c>
      <c r="B415" s="2" t="str">
        <f>VLOOKUP(A415,DAY_8[],2,0)</f>
        <v>FL250414</v>
      </c>
      <c r="C415" t="str">
        <f>VLOOKUP(A415,DAY_8[],3,0)</f>
        <v>FEMALE</v>
      </c>
      <c r="D415">
        <f>VLOOKUP(A415,DAY_8[],4,0)</f>
        <v>26</v>
      </c>
      <c r="E415" t="str">
        <f>VLOOKUP(A415,DAY_8[],5,0)</f>
        <v>EGYPT</v>
      </c>
      <c r="F415" s="5" t="str">
        <f>VLOOKUP(A415,DAY_8[],6,0)</f>
        <v>ARABIC</v>
      </c>
      <c r="G415" s="5" t="str">
        <f>VLOOKUP(A415,DAY_8[],7,0)</f>
        <v>WEB DEVELOPMENT</v>
      </c>
      <c r="H415" s="5">
        <f>VLOOKUP(A415,DAY_8[],8,0)</f>
        <v>2</v>
      </c>
      <c r="I415" s="5">
        <f>VLOOKUP(A415,DAY_8[],10,0)</f>
        <v>20</v>
      </c>
      <c r="J415" s="5">
        <f>VLOOKUP(A415,DAY_8[],11,0)</f>
        <v>1.3</v>
      </c>
    </row>
    <row r="416" spans="1:10" x14ac:dyDescent="0.25">
      <c r="A416" s="2" t="s">
        <v>854</v>
      </c>
      <c r="B416" s="2" t="str">
        <f>VLOOKUP(A416,DAY_8[],2,0)</f>
        <v>FL250415</v>
      </c>
      <c r="C416" t="str">
        <f>VLOOKUP(A416,DAY_8[],3,0)</f>
        <v>FEMALE</v>
      </c>
      <c r="D416">
        <f>VLOOKUP(A416,DAY_8[],4,0)</f>
        <v>44</v>
      </c>
      <c r="E416" t="str">
        <f>VLOOKUP(A416,DAY_8[],5,0)</f>
        <v>SOUTH KOREA</v>
      </c>
      <c r="F416" s="5" t="str">
        <f>VLOOKUP(A416,DAY_8[],6,0)</f>
        <v>KOREAN</v>
      </c>
      <c r="G416" s="5" t="str">
        <f>VLOOKUP(A416,DAY_8[],7,0)</f>
        <v>CYBERSECURITY</v>
      </c>
      <c r="H416" s="5">
        <f>VLOOKUP(A416,DAY_8[],8,0)</f>
        <v>22</v>
      </c>
      <c r="I416" s="5">
        <f>VLOOKUP(A416,DAY_8[],10,0)</f>
        <v>30</v>
      </c>
      <c r="J416" s="5">
        <f>VLOOKUP(A416,DAY_8[],11,0)</f>
        <v>4.0999999999999996</v>
      </c>
    </row>
    <row r="417" spans="1:10" x14ac:dyDescent="0.25">
      <c r="A417" s="2" t="s">
        <v>856</v>
      </c>
      <c r="B417" s="2" t="str">
        <f>VLOOKUP(A417,DAY_8[],2,0)</f>
        <v>FL250416</v>
      </c>
      <c r="C417" t="str">
        <f>VLOOKUP(A417,DAY_8[],3,0)</f>
        <v>MALE</v>
      </c>
      <c r="D417">
        <f>VLOOKUP(A417,DAY_8[],4,0)</f>
        <v>42</v>
      </c>
      <c r="E417" t="str">
        <f>VLOOKUP(A417,DAY_8[],5,0)</f>
        <v>MEXICO</v>
      </c>
      <c r="F417" s="5" t="str">
        <f>VLOOKUP(A417,DAY_8[],6,0)</f>
        <v>SPANISH</v>
      </c>
      <c r="G417" s="5" t="str">
        <f>VLOOKUP(A417,DAY_8[],7,0)</f>
        <v>MACHINE LEARNING</v>
      </c>
      <c r="H417" s="5">
        <f>VLOOKUP(A417,DAY_8[],8,0)</f>
        <v>8</v>
      </c>
      <c r="I417" s="5">
        <f>VLOOKUP(A417,DAY_8[],10,0)</f>
        <v>50</v>
      </c>
      <c r="J417" s="5">
        <f>VLOOKUP(A417,DAY_8[],11,0)</f>
        <v>2.4</v>
      </c>
    </row>
    <row r="418" spans="1:10" x14ac:dyDescent="0.25">
      <c r="A418" s="2" t="s">
        <v>280</v>
      </c>
      <c r="B418" s="2" t="str">
        <f>VLOOKUP(A418,DAY_8[],2,0)</f>
        <v>FL250126</v>
      </c>
      <c r="C418" t="str">
        <f>VLOOKUP(A418,DAY_8[],3,0)</f>
        <v>MALE</v>
      </c>
      <c r="D418">
        <f>VLOOKUP(A418,DAY_8[],4,0)</f>
        <v>49</v>
      </c>
      <c r="E418" t="str">
        <f>VLOOKUP(A418,DAY_8[],5,0)</f>
        <v>SOUTH KOREA</v>
      </c>
      <c r="F418" s="5" t="str">
        <f>VLOOKUP(A418,DAY_8[],6,0)</f>
        <v>KOREAN</v>
      </c>
      <c r="G418" s="5" t="str">
        <f>VLOOKUP(A418,DAY_8[],7,0)</f>
        <v>DATA ANALYSIS</v>
      </c>
      <c r="H418" s="5">
        <f>VLOOKUP(A418,DAY_8[],8,0)</f>
        <v>19</v>
      </c>
      <c r="I418" s="5">
        <f>VLOOKUP(A418,DAY_8[],10,0)</f>
        <v>70</v>
      </c>
      <c r="J418" s="5">
        <f>VLOOKUP(A418,DAY_8[],11,0)</f>
        <v>5</v>
      </c>
    </row>
    <row r="419" spans="1:10" x14ac:dyDescent="0.25">
      <c r="A419" s="2" t="s">
        <v>859</v>
      </c>
      <c r="B419" s="2" t="str">
        <f>VLOOKUP(A419,DAY_8[],2,0)</f>
        <v>FL250418</v>
      </c>
      <c r="C419" t="str">
        <f>VLOOKUP(A419,DAY_8[],3,0)</f>
        <v>MALE</v>
      </c>
      <c r="D419">
        <f>VLOOKUP(A419,DAY_8[],4,0)</f>
        <v>51</v>
      </c>
      <c r="E419" t="str">
        <f>VLOOKUP(A419,DAY_8[],5,0)</f>
        <v>EGYPT</v>
      </c>
      <c r="F419" s="5" t="str">
        <f>VLOOKUP(A419,DAY_8[],6,0)</f>
        <v>ARABIC</v>
      </c>
      <c r="G419" s="5" t="str">
        <f>VLOOKUP(A419,DAY_8[],7,0)</f>
        <v>WEB DEVELOPMENT</v>
      </c>
      <c r="H419" s="5">
        <f>VLOOKUP(A419,DAY_8[],8,0)</f>
        <v>32</v>
      </c>
      <c r="I419" s="5">
        <f>VLOOKUP(A419,DAY_8[],10,0)</f>
        <v>100</v>
      </c>
      <c r="J419" s="5">
        <f>VLOOKUP(A419,DAY_8[],11,0)</f>
        <v>4.4000000000000004</v>
      </c>
    </row>
    <row r="420" spans="1:10" x14ac:dyDescent="0.25">
      <c r="A420" s="2" t="s">
        <v>861</v>
      </c>
      <c r="B420" s="2" t="str">
        <f>VLOOKUP(A420,DAY_8[],2,0)</f>
        <v>FL250419</v>
      </c>
      <c r="C420" t="str">
        <f>VLOOKUP(A420,DAY_8[],3,0)</f>
        <v>FEMALE</v>
      </c>
      <c r="D420">
        <f>VLOOKUP(A420,DAY_8[],4,0)</f>
        <v>36</v>
      </c>
      <c r="E420" t="str">
        <f>VLOOKUP(A420,DAY_8[],5,0)</f>
        <v>FRANCE</v>
      </c>
      <c r="F420" s="5" t="str">
        <f>VLOOKUP(A420,DAY_8[],6,0)</f>
        <v>FRENCH</v>
      </c>
      <c r="G420" s="5" t="str">
        <f>VLOOKUP(A420,DAY_8[],7,0)</f>
        <v>AI</v>
      </c>
      <c r="H420" s="5">
        <f>VLOOKUP(A420,DAY_8[],8,0)</f>
        <v>8</v>
      </c>
      <c r="I420" s="5">
        <f>VLOOKUP(A420,DAY_8[],10,0)</f>
        <v>100</v>
      </c>
      <c r="J420" s="5">
        <f>VLOOKUP(A420,DAY_8[],11,0)</f>
        <v>2.2000000000000002</v>
      </c>
    </row>
    <row r="421" spans="1:10" x14ac:dyDescent="0.25">
      <c r="A421" s="2" t="s">
        <v>1073</v>
      </c>
      <c r="B421" s="2" t="str">
        <f>VLOOKUP(A421,DAY_8[],2,0)</f>
        <v>FL250420</v>
      </c>
      <c r="C421" t="str">
        <f>VLOOKUP(A421,DAY_8[],3,0)</f>
        <v>FEMALE</v>
      </c>
      <c r="D421">
        <f>VLOOKUP(A421,DAY_8[],4,0)</f>
        <v>37</v>
      </c>
      <c r="E421" t="str">
        <f>VLOOKUP(A421,DAY_8[],5,0)</f>
        <v>AUSTRALIA</v>
      </c>
      <c r="F421" s="5" t="str">
        <f>VLOOKUP(A421,DAY_8[],6,0)</f>
        <v>ENGLISH</v>
      </c>
      <c r="G421" s="5" t="str">
        <f>VLOOKUP(A421,DAY_8[],7,0)</f>
        <v>MOBILE APPS</v>
      </c>
      <c r="H421" s="5">
        <f>VLOOKUP(A421,DAY_8[],8,0)</f>
        <v>10</v>
      </c>
      <c r="I421" s="5">
        <f>VLOOKUP(A421,DAY_8[],10,0)</f>
        <v>30</v>
      </c>
      <c r="J421" s="5">
        <f>VLOOKUP(A421,DAY_8[],11,0)</f>
        <v>0</v>
      </c>
    </row>
    <row r="422" spans="1:10" x14ac:dyDescent="0.25">
      <c r="A422" s="2" t="s">
        <v>864</v>
      </c>
      <c r="B422" s="2" t="str">
        <f>VLOOKUP(A422,DAY_8[],2,0)</f>
        <v>FL250421</v>
      </c>
      <c r="C422" t="str">
        <f>VLOOKUP(A422,DAY_8[],3,0)</f>
        <v>MALE</v>
      </c>
      <c r="D422">
        <f>VLOOKUP(A422,DAY_8[],4,0)</f>
        <v>31</v>
      </c>
      <c r="E422" t="str">
        <f>VLOOKUP(A422,DAY_8[],5,0)</f>
        <v>SOUTH AFRICA</v>
      </c>
      <c r="F422" s="5" t="str">
        <f>VLOOKUP(A422,DAY_8[],6,0)</f>
        <v>AFRIKAANS</v>
      </c>
      <c r="G422" s="5" t="str">
        <f>VLOOKUP(A422,DAY_8[],7,0)</f>
        <v>DEVOPS</v>
      </c>
      <c r="H422" s="5">
        <f>VLOOKUP(A422,DAY_8[],8,0)</f>
        <v>0</v>
      </c>
      <c r="I422" s="5">
        <f>VLOOKUP(A422,DAY_8[],10,0)</f>
        <v>50</v>
      </c>
      <c r="J422" s="5">
        <f>VLOOKUP(A422,DAY_8[],11,0)</f>
        <v>1.1000000000000001</v>
      </c>
    </row>
    <row r="423" spans="1:10" x14ac:dyDescent="0.25">
      <c r="A423" s="2" t="s">
        <v>866</v>
      </c>
      <c r="B423" s="2" t="str">
        <f>VLOOKUP(A423,DAY_8[],2,0)</f>
        <v>FL250422</v>
      </c>
      <c r="C423" t="str">
        <f>VLOOKUP(A423,DAY_8[],3,0)</f>
        <v>FEMALE</v>
      </c>
      <c r="D423">
        <f>VLOOKUP(A423,DAY_8[],4,0)</f>
        <v>47</v>
      </c>
      <c r="E423" t="str">
        <f>VLOOKUP(A423,DAY_8[],5,0)</f>
        <v>INDIA</v>
      </c>
      <c r="F423" s="5" t="str">
        <f>VLOOKUP(A423,DAY_8[],6,0)</f>
        <v>HINDI</v>
      </c>
      <c r="G423" s="5" t="str">
        <f>VLOOKUP(A423,DAY_8[],7,0)</f>
        <v>CYBERSECURITY</v>
      </c>
      <c r="H423" s="5">
        <f>VLOOKUP(A423,DAY_8[],8,0)</f>
        <v>22</v>
      </c>
      <c r="I423" s="5">
        <f>VLOOKUP(A423,DAY_8[],10,0)</f>
        <v>70</v>
      </c>
      <c r="J423" s="5">
        <f>VLOOKUP(A423,DAY_8[],11,0)</f>
        <v>1.4</v>
      </c>
    </row>
    <row r="424" spans="1:10" x14ac:dyDescent="0.25">
      <c r="A424" s="2" t="s">
        <v>868</v>
      </c>
      <c r="B424" s="2" t="str">
        <f>VLOOKUP(A424,DAY_8[],2,0)</f>
        <v>FL250423</v>
      </c>
      <c r="C424" t="str">
        <f>VLOOKUP(A424,DAY_8[],3,0)</f>
        <v>FEMALE</v>
      </c>
      <c r="D424">
        <f>VLOOKUP(A424,DAY_8[],4,0)</f>
        <v>60</v>
      </c>
      <c r="E424" t="str">
        <f>VLOOKUP(A424,DAY_8[],5,0)</f>
        <v>MEXICO</v>
      </c>
      <c r="F424" s="5" t="str">
        <f>VLOOKUP(A424,DAY_8[],6,0)</f>
        <v>SPANISH</v>
      </c>
      <c r="G424" s="5" t="str">
        <f>VLOOKUP(A424,DAY_8[],7,0)</f>
        <v>UI/UX DESIGN</v>
      </c>
      <c r="H424" s="5">
        <f>VLOOKUP(A424,DAY_8[],8,0)</f>
        <v>34</v>
      </c>
      <c r="I424" s="5">
        <f>VLOOKUP(A424,DAY_8[],10,0)</f>
        <v>100</v>
      </c>
      <c r="J424" s="5">
        <f>VLOOKUP(A424,DAY_8[],11,0)</f>
        <v>0</v>
      </c>
    </row>
    <row r="425" spans="1:10" x14ac:dyDescent="0.25">
      <c r="A425" s="2" t="s">
        <v>870</v>
      </c>
      <c r="B425" s="2" t="str">
        <f>VLOOKUP(A425,DAY_8[],2,0)</f>
        <v>FL250424</v>
      </c>
      <c r="C425" t="str">
        <f>VLOOKUP(A425,DAY_8[],3,0)</f>
        <v>FEMALE</v>
      </c>
      <c r="D425">
        <f>VLOOKUP(A425,DAY_8[],4,0)</f>
        <v>48</v>
      </c>
      <c r="E425" t="str">
        <f>VLOOKUP(A425,DAY_8[],5,0)</f>
        <v>ARGENTINA</v>
      </c>
      <c r="F425" s="5" t="str">
        <f>VLOOKUP(A425,DAY_8[],6,0)</f>
        <v>SPANISH</v>
      </c>
      <c r="G425" s="5" t="str">
        <f>VLOOKUP(A425,DAY_8[],7,0)</f>
        <v>MOBILE APPS</v>
      </c>
      <c r="H425" s="5">
        <f>VLOOKUP(A425,DAY_8[],8,0)</f>
        <v>5</v>
      </c>
      <c r="I425" s="5">
        <f>VLOOKUP(A425,DAY_8[],10,0)</f>
        <v>30</v>
      </c>
      <c r="J425" s="5">
        <f>VLOOKUP(A425,DAY_8[],11,0)</f>
        <v>1.5</v>
      </c>
    </row>
    <row r="426" spans="1:10" x14ac:dyDescent="0.25">
      <c r="A426" s="2" t="s">
        <v>872</v>
      </c>
      <c r="B426" s="2" t="str">
        <f>VLOOKUP(A426,DAY_8[],2,0)</f>
        <v>FL250425</v>
      </c>
      <c r="C426" t="str">
        <f>VLOOKUP(A426,DAY_8[],3,0)</f>
        <v>FEMALE</v>
      </c>
      <c r="D426">
        <f>VLOOKUP(A426,DAY_8[],4,0)</f>
        <v>24</v>
      </c>
      <c r="E426" t="str">
        <f>VLOOKUP(A426,DAY_8[],5,0)</f>
        <v>INDIA</v>
      </c>
      <c r="F426" s="5" t="str">
        <f>VLOOKUP(A426,DAY_8[],6,0)</f>
        <v>HINDI</v>
      </c>
      <c r="G426" s="5" t="str">
        <f>VLOOKUP(A426,DAY_8[],7,0)</f>
        <v>AI</v>
      </c>
      <c r="H426" s="5">
        <f>VLOOKUP(A426,DAY_8[],8,0)</f>
        <v>3</v>
      </c>
      <c r="I426" s="5">
        <f>VLOOKUP(A426,DAY_8[],10,0)</f>
        <v>20</v>
      </c>
      <c r="J426" s="5">
        <f>VLOOKUP(A426,DAY_8[],11,0)</f>
        <v>0</v>
      </c>
    </row>
    <row r="427" spans="1:10" x14ac:dyDescent="0.25">
      <c r="A427" s="2" t="s">
        <v>874</v>
      </c>
      <c r="B427" s="2" t="str">
        <f>VLOOKUP(A427,DAY_8[],2,0)</f>
        <v>FL250426</v>
      </c>
      <c r="C427" t="str">
        <f>VLOOKUP(A427,DAY_8[],3,0)</f>
        <v>FEMALE</v>
      </c>
      <c r="D427">
        <f>VLOOKUP(A427,DAY_8[],4,0)</f>
        <v>35</v>
      </c>
      <c r="E427" t="str">
        <f>VLOOKUP(A427,DAY_8[],5,0)</f>
        <v>NETHERLANDS</v>
      </c>
      <c r="F427" s="5" t="str">
        <f>VLOOKUP(A427,DAY_8[],6,0)</f>
        <v>DUTCH</v>
      </c>
      <c r="G427" s="5" t="str">
        <f>VLOOKUP(A427,DAY_8[],7,0)</f>
        <v>MACHINE LEARNING</v>
      </c>
      <c r="H427" s="5">
        <f>VLOOKUP(A427,DAY_8[],8,0)</f>
        <v>10</v>
      </c>
      <c r="I427" s="5">
        <f>VLOOKUP(A427,DAY_8[],10,0)</f>
        <v>75</v>
      </c>
      <c r="J427" s="5">
        <f>VLOOKUP(A427,DAY_8[],11,0)</f>
        <v>0</v>
      </c>
    </row>
    <row r="428" spans="1:10" x14ac:dyDescent="0.25">
      <c r="A428" s="2" t="s">
        <v>876</v>
      </c>
      <c r="B428" s="2" t="str">
        <f>VLOOKUP(A428,DAY_8[],2,0)</f>
        <v>FL250427</v>
      </c>
      <c r="C428" t="str">
        <f>VLOOKUP(A428,DAY_8[],3,0)</f>
        <v>MALE</v>
      </c>
      <c r="D428">
        <f>VLOOKUP(A428,DAY_8[],4,0)</f>
        <v>35</v>
      </c>
      <c r="E428" t="str">
        <f>VLOOKUP(A428,DAY_8[],5,0)</f>
        <v>US</v>
      </c>
      <c r="F428" s="5" t="str">
        <f>VLOOKUP(A428,DAY_8[],6,0)</f>
        <v>ENGLISH</v>
      </c>
      <c r="G428" s="5" t="str">
        <f>VLOOKUP(A428,DAY_8[],7,0)</f>
        <v>DEVOPS</v>
      </c>
      <c r="H428" s="5">
        <f>VLOOKUP(A428,DAY_8[],8,0)</f>
        <v>10</v>
      </c>
      <c r="I428" s="5">
        <f>VLOOKUP(A428,DAY_8[],10,0)</f>
        <v>100</v>
      </c>
      <c r="J428" s="5">
        <f>VLOOKUP(A428,DAY_8[],11,0)</f>
        <v>3.5</v>
      </c>
    </row>
    <row r="429" spans="1:10" x14ac:dyDescent="0.25">
      <c r="A429" s="2" t="s">
        <v>878</v>
      </c>
      <c r="B429" s="2" t="str">
        <f>VLOOKUP(A429,DAY_8[],2,0)</f>
        <v>FL250428</v>
      </c>
      <c r="C429" t="str">
        <f>VLOOKUP(A429,DAY_8[],3,0)</f>
        <v>FEMALE</v>
      </c>
      <c r="D429">
        <f>VLOOKUP(A429,DAY_8[],4,0)</f>
        <v>29</v>
      </c>
      <c r="E429" t="str">
        <f>VLOOKUP(A429,DAY_8[],5,0)</f>
        <v>NETHERLANDS</v>
      </c>
      <c r="F429" s="5" t="str">
        <f>VLOOKUP(A429,DAY_8[],6,0)</f>
        <v>DUTCH</v>
      </c>
      <c r="G429" s="5" t="str">
        <f>VLOOKUP(A429,DAY_8[],7,0)</f>
        <v>UI/UX DESIGN</v>
      </c>
      <c r="H429" s="5">
        <f>VLOOKUP(A429,DAY_8[],8,0)</f>
        <v>6</v>
      </c>
      <c r="I429" s="5">
        <f>VLOOKUP(A429,DAY_8[],10,0)</f>
        <v>70</v>
      </c>
      <c r="J429" s="5">
        <f>VLOOKUP(A429,DAY_8[],11,0)</f>
        <v>4.8</v>
      </c>
    </row>
    <row r="430" spans="1:10" x14ac:dyDescent="0.25">
      <c r="A430" s="2" t="s">
        <v>880</v>
      </c>
      <c r="B430" s="2" t="str">
        <f>VLOOKUP(A430,DAY_8[],2,0)</f>
        <v>FL250429</v>
      </c>
      <c r="C430" t="str">
        <f>VLOOKUP(A430,DAY_8[],3,0)</f>
        <v>FEMALE</v>
      </c>
      <c r="D430">
        <f>VLOOKUP(A430,DAY_8[],4,0)</f>
        <v>36</v>
      </c>
      <c r="E430" t="str">
        <f>VLOOKUP(A430,DAY_8[],5,0)</f>
        <v>ITALY</v>
      </c>
      <c r="F430" s="5" t="str">
        <f>VLOOKUP(A430,DAY_8[],6,0)</f>
        <v>ITALIAN</v>
      </c>
      <c r="G430" s="5" t="str">
        <f>VLOOKUP(A430,DAY_8[],7,0)</f>
        <v>MACHINE LEARNING</v>
      </c>
      <c r="H430" s="5">
        <f>VLOOKUP(A430,DAY_8[],8,0)</f>
        <v>1</v>
      </c>
      <c r="I430" s="5">
        <f>VLOOKUP(A430,DAY_8[],10,0)</f>
        <v>75</v>
      </c>
      <c r="J430" s="5">
        <f>VLOOKUP(A430,DAY_8[],11,0)</f>
        <v>2.4</v>
      </c>
    </row>
    <row r="431" spans="1:10" x14ac:dyDescent="0.25">
      <c r="A431" s="2" t="s">
        <v>882</v>
      </c>
      <c r="B431" s="2" t="str">
        <f>VLOOKUP(A431,DAY_8[],2,0)</f>
        <v>FL250430</v>
      </c>
      <c r="C431" t="str">
        <f>VLOOKUP(A431,DAY_8[],3,0)</f>
        <v>FEMALE</v>
      </c>
      <c r="D431">
        <f>VLOOKUP(A431,DAY_8[],4,0)</f>
        <v>44</v>
      </c>
      <c r="E431" t="str">
        <f>VLOOKUP(A431,DAY_8[],5,0)</f>
        <v>CANADA</v>
      </c>
      <c r="F431" s="5" t="str">
        <f>VLOOKUP(A431,DAY_8[],6,0)</f>
        <v>ENGLISH</v>
      </c>
      <c r="G431" s="5" t="str">
        <f>VLOOKUP(A431,DAY_8[],7,0)</f>
        <v>AI</v>
      </c>
      <c r="H431" s="5">
        <f>VLOOKUP(A431,DAY_8[],8,0)</f>
        <v>0</v>
      </c>
      <c r="I431" s="5">
        <f>VLOOKUP(A431,DAY_8[],10,0)</f>
        <v>70</v>
      </c>
      <c r="J431" s="5">
        <f>VLOOKUP(A431,DAY_8[],11,0)</f>
        <v>4.8</v>
      </c>
    </row>
    <row r="432" spans="1:10" x14ac:dyDescent="0.25">
      <c r="A432" s="2" t="s">
        <v>884</v>
      </c>
      <c r="B432" s="2" t="str">
        <f>VLOOKUP(A432,DAY_8[],2,0)</f>
        <v>FL250431</v>
      </c>
      <c r="C432" t="str">
        <f>VLOOKUP(A432,DAY_8[],3,0)</f>
        <v>MALE</v>
      </c>
      <c r="D432">
        <f>VLOOKUP(A432,DAY_8[],4,0)</f>
        <v>44</v>
      </c>
      <c r="E432" t="str">
        <f>VLOOKUP(A432,DAY_8[],5,0)</f>
        <v>SOUTH AFRICA</v>
      </c>
      <c r="F432" s="5" t="str">
        <f>VLOOKUP(A432,DAY_8[],6,0)</f>
        <v>AFRIKAANS</v>
      </c>
      <c r="G432" s="5" t="str">
        <f>VLOOKUP(A432,DAY_8[],7,0)</f>
        <v>WEB DEVELOPMENT</v>
      </c>
      <c r="H432" s="5">
        <f>VLOOKUP(A432,DAY_8[],8,0)</f>
        <v>10</v>
      </c>
      <c r="I432" s="5">
        <f>VLOOKUP(A432,DAY_8[],10,0)</f>
        <v>70</v>
      </c>
      <c r="J432" s="5">
        <f>VLOOKUP(A432,DAY_8[],11,0)</f>
        <v>1.4</v>
      </c>
    </row>
    <row r="433" spans="1:10" x14ac:dyDescent="0.25">
      <c r="A433" s="2" t="s">
        <v>886</v>
      </c>
      <c r="B433" s="2" t="str">
        <f>VLOOKUP(A433,DAY_8[],2,0)</f>
        <v>FL250432</v>
      </c>
      <c r="C433" t="str">
        <f>VLOOKUP(A433,DAY_8[],3,0)</f>
        <v>MALE</v>
      </c>
      <c r="D433">
        <f>VLOOKUP(A433,DAY_8[],4,0)</f>
        <v>40</v>
      </c>
      <c r="E433" t="str">
        <f>VLOOKUP(A433,DAY_8[],5,0)</f>
        <v>INDIA</v>
      </c>
      <c r="F433" s="5" t="str">
        <f>VLOOKUP(A433,DAY_8[],6,0)</f>
        <v>HINDI</v>
      </c>
      <c r="G433" s="5" t="str">
        <f>VLOOKUP(A433,DAY_8[],7,0)</f>
        <v>AI</v>
      </c>
      <c r="H433" s="5">
        <f>VLOOKUP(A433,DAY_8[],8,0)</f>
        <v>13</v>
      </c>
      <c r="I433" s="5">
        <f>VLOOKUP(A433,DAY_8[],10,0)</f>
        <v>100</v>
      </c>
      <c r="J433" s="5">
        <f>VLOOKUP(A433,DAY_8[],11,0)</f>
        <v>1.1000000000000001</v>
      </c>
    </row>
    <row r="434" spans="1:10" x14ac:dyDescent="0.25">
      <c r="A434" s="2" t="s">
        <v>888</v>
      </c>
      <c r="B434" s="2" t="str">
        <f>VLOOKUP(A434,DAY_8[],2,0)</f>
        <v>FL250433</v>
      </c>
      <c r="C434" t="str">
        <f>VLOOKUP(A434,DAY_8[],3,0)</f>
        <v>FEMALE</v>
      </c>
      <c r="D434">
        <f>VLOOKUP(A434,DAY_8[],4,0)</f>
        <v>53</v>
      </c>
      <c r="E434" t="str">
        <f>VLOOKUP(A434,DAY_8[],5,0)</f>
        <v>NETHERLANDS</v>
      </c>
      <c r="F434" s="5" t="str">
        <f>VLOOKUP(A434,DAY_8[],6,0)</f>
        <v>DUTCH</v>
      </c>
      <c r="G434" s="5" t="str">
        <f>VLOOKUP(A434,DAY_8[],7,0)</f>
        <v>MACHINE LEARNING</v>
      </c>
      <c r="H434" s="5">
        <f>VLOOKUP(A434,DAY_8[],8,0)</f>
        <v>13</v>
      </c>
      <c r="I434" s="5">
        <f>VLOOKUP(A434,DAY_8[],10,0)</f>
        <v>50</v>
      </c>
      <c r="J434" s="5">
        <f>VLOOKUP(A434,DAY_8[],11,0)</f>
        <v>3.3</v>
      </c>
    </row>
    <row r="435" spans="1:10" x14ac:dyDescent="0.25">
      <c r="A435" s="2" t="s">
        <v>890</v>
      </c>
      <c r="B435" s="2" t="str">
        <f>VLOOKUP(A435,DAY_8[],2,0)</f>
        <v>FL250434</v>
      </c>
      <c r="C435" t="str">
        <f>VLOOKUP(A435,DAY_8[],3,0)</f>
        <v>FEMALE</v>
      </c>
      <c r="D435">
        <f>VLOOKUP(A435,DAY_8[],4,0)</f>
        <v>35</v>
      </c>
      <c r="E435" t="str">
        <f>VLOOKUP(A435,DAY_8[],5,0)</f>
        <v>GERMANY</v>
      </c>
      <c r="F435" s="5" t="str">
        <f>VLOOKUP(A435,DAY_8[],6,0)</f>
        <v>GERMANY</v>
      </c>
      <c r="G435" s="5" t="str">
        <f>VLOOKUP(A435,DAY_8[],7,0)</f>
        <v>BLOCKCHAIN DEVELOPMENT</v>
      </c>
      <c r="H435" s="5">
        <f>VLOOKUP(A435,DAY_8[],8,0)</f>
        <v>0</v>
      </c>
      <c r="I435" s="5">
        <f>VLOOKUP(A435,DAY_8[],10,0)</f>
        <v>30</v>
      </c>
      <c r="J435" s="5">
        <f>VLOOKUP(A435,DAY_8[],11,0)</f>
        <v>4.5999999999999996</v>
      </c>
    </row>
    <row r="436" spans="1:10" x14ac:dyDescent="0.25">
      <c r="A436" s="2" t="s">
        <v>892</v>
      </c>
      <c r="B436" s="2" t="str">
        <f>VLOOKUP(A436,DAY_8[],2,0)</f>
        <v>FL250435</v>
      </c>
      <c r="C436" t="str">
        <f>VLOOKUP(A436,DAY_8[],3,0)</f>
        <v>FEMALE</v>
      </c>
      <c r="D436">
        <f>VLOOKUP(A436,DAY_8[],4,0)</f>
        <v>27</v>
      </c>
      <c r="E436" t="str">
        <f>VLOOKUP(A436,DAY_8[],5,0)</f>
        <v>ARGENTINA</v>
      </c>
      <c r="F436" s="5" t="str">
        <f>VLOOKUP(A436,DAY_8[],6,0)</f>
        <v>SPANISH</v>
      </c>
      <c r="G436" s="5" t="str">
        <f>VLOOKUP(A436,DAY_8[],7,0)</f>
        <v>MACHINE LEARNING</v>
      </c>
      <c r="H436" s="5">
        <f>VLOOKUP(A436,DAY_8[],8,0)</f>
        <v>7</v>
      </c>
      <c r="I436" s="5">
        <f>VLOOKUP(A436,DAY_8[],10,0)</f>
        <v>75</v>
      </c>
      <c r="J436" s="5">
        <f>VLOOKUP(A436,DAY_8[],11,0)</f>
        <v>2.8</v>
      </c>
    </row>
    <row r="437" spans="1:10" x14ac:dyDescent="0.25">
      <c r="A437" s="2" t="s">
        <v>894</v>
      </c>
      <c r="B437" s="2" t="str">
        <f>VLOOKUP(A437,DAY_8[],2,0)</f>
        <v>FL250436</v>
      </c>
      <c r="C437" t="str">
        <f>VLOOKUP(A437,DAY_8[],3,0)</f>
        <v>MALE</v>
      </c>
      <c r="D437">
        <f>VLOOKUP(A437,DAY_8[],4,0)</f>
        <v>34</v>
      </c>
      <c r="E437" t="str">
        <f>VLOOKUP(A437,DAY_8[],5,0)</f>
        <v>AUSTRALIA</v>
      </c>
      <c r="F437" s="5" t="str">
        <f>VLOOKUP(A437,DAY_8[],6,0)</f>
        <v>ENGLISH</v>
      </c>
      <c r="G437" s="5" t="str">
        <f>VLOOKUP(A437,DAY_8[],7,0)</f>
        <v>DEVOPS</v>
      </c>
      <c r="H437" s="5">
        <f>VLOOKUP(A437,DAY_8[],8,0)</f>
        <v>6</v>
      </c>
      <c r="I437" s="5">
        <f>VLOOKUP(A437,DAY_8[],10,0)</f>
        <v>50</v>
      </c>
      <c r="J437" s="5">
        <f>VLOOKUP(A437,DAY_8[],11,0)</f>
        <v>5</v>
      </c>
    </row>
    <row r="438" spans="1:10" x14ac:dyDescent="0.25">
      <c r="A438" s="2" t="s">
        <v>896</v>
      </c>
      <c r="B438" s="2" t="str">
        <f>VLOOKUP(A438,DAY_8[],2,0)</f>
        <v>FL250437</v>
      </c>
      <c r="C438" t="str">
        <f>VLOOKUP(A438,DAY_8[],3,0)</f>
        <v>MALE</v>
      </c>
      <c r="D438">
        <f>VLOOKUP(A438,DAY_8[],4,0)</f>
        <v>24</v>
      </c>
      <c r="E438" t="str">
        <f>VLOOKUP(A438,DAY_8[],5,0)</f>
        <v>INDIA</v>
      </c>
      <c r="F438" s="5" t="str">
        <f>VLOOKUP(A438,DAY_8[],6,0)</f>
        <v>HINDI</v>
      </c>
      <c r="G438" s="5" t="str">
        <f>VLOOKUP(A438,DAY_8[],7,0)</f>
        <v>CYBERSECURITY</v>
      </c>
      <c r="H438" s="5">
        <f>VLOOKUP(A438,DAY_8[],8,0)</f>
        <v>2</v>
      </c>
      <c r="I438" s="5">
        <f>VLOOKUP(A438,DAY_8[],10,0)</f>
        <v>75</v>
      </c>
      <c r="J438" s="5">
        <f>VLOOKUP(A438,DAY_8[],11,0)</f>
        <v>4.7</v>
      </c>
    </row>
    <row r="439" spans="1:10" x14ac:dyDescent="0.25">
      <c r="A439" s="2" t="s">
        <v>898</v>
      </c>
      <c r="B439" s="2" t="str">
        <f>VLOOKUP(A439,DAY_8[],2,0)</f>
        <v>FL250438</v>
      </c>
      <c r="C439" t="str">
        <f>VLOOKUP(A439,DAY_8[],3,0)</f>
        <v>MALE</v>
      </c>
      <c r="D439">
        <f>VLOOKUP(A439,DAY_8[],4,0)</f>
        <v>57</v>
      </c>
      <c r="E439" t="str">
        <f>VLOOKUP(A439,DAY_8[],5,0)</f>
        <v>US</v>
      </c>
      <c r="F439" s="5" t="str">
        <f>VLOOKUP(A439,DAY_8[],6,0)</f>
        <v>ENGLISH</v>
      </c>
      <c r="G439" s="5" t="str">
        <f>VLOOKUP(A439,DAY_8[],7,0)</f>
        <v>UI/UX DESIGN</v>
      </c>
      <c r="H439" s="5">
        <f>VLOOKUP(A439,DAY_8[],8,0)</f>
        <v>13</v>
      </c>
      <c r="I439" s="5">
        <f>VLOOKUP(A439,DAY_8[],10,0)</f>
        <v>100</v>
      </c>
      <c r="J439" s="5">
        <f>VLOOKUP(A439,DAY_8[],11,0)</f>
        <v>3.5</v>
      </c>
    </row>
    <row r="440" spans="1:10" x14ac:dyDescent="0.25">
      <c r="A440" s="2" t="s">
        <v>900</v>
      </c>
      <c r="B440" s="2" t="str">
        <f>VLOOKUP(A440,DAY_8[],2,0)</f>
        <v>FL250439</v>
      </c>
      <c r="C440" t="str">
        <f>VLOOKUP(A440,DAY_8[],3,0)</f>
        <v>MALE</v>
      </c>
      <c r="D440">
        <f>VLOOKUP(A440,DAY_8[],4,0)</f>
        <v>28</v>
      </c>
      <c r="E440" t="str">
        <f>VLOOKUP(A440,DAY_8[],5,0)</f>
        <v>SOUTH KOREA</v>
      </c>
      <c r="F440" s="5" t="str">
        <f>VLOOKUP(A440,DAY_8[],6,0)</f>
        <v>KOREAN</v>
      </c>
      <c r="G440" s="5" t="str">
        <f>VLOOKUP(A440,DAY_8[],7,0)</f>
        <v>UI/UX DESIGN</v>
      </c>
      <c r="H440" s="5">
        <f>VLOOKUP(A440,DAY_8[],8,0)</f>
        <v>7</v>
      </c>
      <c r="I440" s="5">
        <f>VLOOKUP(A440,DAY_8[],10,0)</f>
        <v>100</v>
      </c>
      <c r="J440" s="5">
        <f>VLOOKUP(A440,DAY_8[],11,0)</f>
        <v>4.3</v>
      </c>
    </row>
    <row r="441" spans="1:10" x14ac:dyDescent="0.25">
      <c r="A441" s="2" t="s">
        <v>902</v>
      </c>
      <c r="B441" s="2" t="str">
        <f>VLOOKUP(A441,DAY_8[],2,0)</f>
        <v>FL250440</v>
      </c>
      <c r="C441" t="str">
        <f>VLOOKUP(A441,DAY_8[],3,0)</f>
        <v>FEMALE</v>
      </c>
      <c r="D441">
        <f>VLOOKUP(A441,DAY_8[],4,0)</f>
        <v>26</v>
      </c>
      <c r="E441" t="str">
        <f>VLOOKUP(A441,DAY_8[],5,0)</f>
        <v>ITALY</v>
      </c>
      <c r="F441" s="5" t="str">
        <f>VLOOKUP(A441,DAY_8[],6,0)</f>
        <v>ITALIAN</v>
      </c>
      <c r="G441" s="5" t="str">
        <f>VLOOKUP(A441,DAY_8[],7,0)</f>
        <v>DEVOPS</v>
      </c>
      <c r="H441" s="5">
        <f>VLOOKUP(A441,DAY_8[],8,0)</f>
        <v>7</v>
      </c>
      <c r="I441" s="5">
        <f>VLOOKUP(A441,DAY_8[],10,0)</f>
        <v>100</v>
      </c>
      <c r="J441" s="5">
        <f>VLOOKUP(A441,DAY_8[],11,0)</f>
        <v>3.3</v>
      </c>
    </row>
    <row r="442" spans="1:10" x14ac:dyDescent="0.25">
      <c r="A442" s="2" t="s">
        <v>904</v>
      </c>
      <c r="B442" s="2" t="str">
        <f>VLOOKUP(A442,DAY_8[],2,0)</f>
        <v>FL250441</v>
      </c>
      <c r="C442" t="str">
        <f>VLOOKUP(A442,DAY_8[],3,0)</f>
        <v>MALE</v>
      </c>
      <c r="D442">
        <f>VLOOKUP(A442,DAY_8[],4,0)</f>
        <v>34</v>
      </c>
      <c r="E442" t="str">
        <f>VLOOKUP(A442,DAY_8[],5,0)</f>
        <v>ARGENTINA</v>
      </c>
      <c r="F442" s="5" t="str">
        <f>VLOOKUP(A442,DAY_8[],6,0)</f>
        <v>SPANISH</v>
      </c>
      <c r="G442" s="5" t="str">
        <f>VLOOKUP(A442,DAY_8[],7,0)</f>
        <v>MOBILE APPS</v>
      </c>
      <c r="H442" s="5">
        <f>VLOOKUP(A442,DAY_8[],8,0)</f>
        <v>15</v>
      </c>
      <c r="I442" s="5">
        <f>VLOOKUP(A442,DAY_8[],10,0)</f>
        <v>75</v>
      </c>
      <c r="J442" s="5">
        <f>VLOOKUP(A442,DAY_8[],11,0)</f>
        <v>2.4</v>
      </c>
    </row>
    <row r="443" spans="1:10" x14ac:dyDescent="0.25">
      <c r="A443" s="2" t="s">
        <v>906</v>
      </c>
      <c r="B443" s="2" t="str">
        <f>VLOOKUP(A443,DAY_8[],2,0)</f>
        <v>FL250442</v>
      </c>
      <c r="C443" t="str">
        <f>VLOOKUP(A443,DAY_8[],3,0)</f>
        <v>MALE</v>
      </c>
      <c r="D443">
        <f>VLOOKUP(A443,DAY_8[],4,0)</f>
        <v>43</v>
      </c>
      <c r="E443" t="str">
        <f>VLOOKUP(A443,DAY_8[],5,0)</f>
        <v>JAPAN</v>
      </c>
      <c r="F443" s="5" t="str">
        <f>VLOOKUP(A443,DAY_8[],6,0)</f>
        <v>JAPANESE</v>
      </c>
      <c r="G443" s="5" t="str">
        <f>VLOOKUP(A443,DAY_8[],7,0)</f>
        <v>AI</v>
      </c>
      <c r="H443" s="5">
        <f>VLOOKUP(A443,DAY_8[],8,0)</f>
        <v>10</v>
      </c>
      <c r="I443" s="5">
        <f>VLOOKUP(A443,DAY_8[],10,0)</f>
        <v>20</v>
      </c>
      <c r="J443" s="5">
        <f>VLOOKUP(A443,DAY_8[],11,0)</f>
        <v>2.8</v>
      </c>
    </row>
    <row r="444" spans="1:10" x14ac:dyDescent="0.25">
      <c r="A444" s="2" t="s">
        <v>908</v>
      </c>
      <c r="B444" s="2" t="str">
        <f>VLOOKUP(A444,DAY_8[],2,0)</f>
        <v>FL250443</v>
      </c>
      <c r="C444" t="str">
        <f>VLOOKUP(A444,DAY_8[],3,0)</f>
        <v>MALE</v>
      </c>
      <c r="D444">
        <f>VLOOKUP(A444,DAY_8[],4,0)</f>
        <v>31</v>
      </c>
      <c r="E444" t="str">
        <f>VLOOKUP(A444,DAY_8[],5,0)</f>
        <v>CHINA</v>
      </c>
      <c r="F444" s="5" t="str">
        <f>VLOOKUP(A444,DAY_8[],6,0)</f>
        <v>MANDARIN</v>
      </c>
      <c r="G444" s="5" t="str">
        <f>VLOOKUP(A444,DAY_8[],7,0)</f>
        <v>GRAPHIC DESIGN</v>
      </c>
      <c r="H444" s="5">
        <f>VLOOKUP(A444,DAY_8[],8,0)</f>
        <v>5</v>
      </c>
      <c r="I444" s="5">
        <f>VLOOKUP(A444,DAY_8[],10,0)</f>
        <v>70</v>
      </c>
      <c r="J444" s="5">
        <f>VLOOKUP(A444,DAY_8[],11,0)</f>
        <v>2.7</v>
      </c>
    </row>
    <row r="445" spans="1:10" x14ac:dyDescent="0.25">
      <c r="A445" s="2" t="s">
        <v>910</v>
      </c>
      <c r="B445" s="2" t="str">
        <f>VLOOKUP(A445,DAY_8[],2,0)</f>
        <v>FL250444</v>
      </c>
      <c r="C445" t="str">
        <f>VLOOKUP(A445,DAY_8[],3,0)</f>
        <v>FEMALE</v>
      </c>
      <c r="D445">
        <f>VLOOKUP(A445,DAY_8[],4,0)</f>
        <v>34</v>
      </c>
      <c r="E445" t="str">
        <f>VLOOKUP(A445,DAY_8[],5,0)</f>
        <v>CHINA</v>
      </c>
      <c r="F445" s="5" t="str">
        <f>VLOOKUP(A445,DAY_8[],6,0)</f>
        <v>MANDARIN</v>
      </c>
      <c r="G445" s="5" t="str">
        <f>VLOOKUP(A445,DAY_8[],7,0)</f>
        <v>BLOCKCHAIN DEVELOPMENT</v>
      </c>
      <c r="H445" s="5">
        <f>VLOOKUP(A445,DAY_8[],8,0)</f>
        <v>10</v>
      </c>
      <c r="I445" s="5">
        <f>VLOOKUP(A445,DAY_8[],10,0)</f>
        <v>50</v>
      </c>
      <c r="J445" s="5">
        <f>VLOOKUP(A445,DAY_8[],11,0)</f>
        <v>0</v>
      </c>
    </row>
    <row r="446" spans="1:10" x14ac:dyDescent="0.25">
      <c r="A446" s="2" t="s">
        <v>912</v>
      </c>
      <c r="B446" s="2" t="str">
        <f>VLOOKUP(A446,DAY_8[],2,0)</f>
        <v>FL250445</v>
      </c>
      <c r="C446" t="str">
        <f>VLOOKUP(A446,DAY_8[],3,0)</f>
        <v>FEMALE</v>
      </c>
      <c r="D446">
        <f>VLOOKUP(A446,DAY_8[],4,0)</f>
        <v>32</v>
      </c>
      <c r="E446" t="str">
        <f>VLOOKUP(A446,DAY_8[],5,0)</f>
        <v>RUSSIA</v>
      </c>
      <c r="F446" s="5" t="str">
        <f>VLOOKUP(A446,DAY_8[],6,0)</f>
        <v>RUSSIAN</v>
      </c>
      <c r="G446" s="5" t="str">
        <f>VLOOKUP(A446,DAY_8[],7,0)</f>
        <v>CYBERSECURITY</v>
      </c>
      <c r="H446" s="5">
        <f>VLOOKUP(A446,DAY_8[],8,0)</f>
        <v>10</v>
      </c>
      <c r="I446" s="5">
        <f>VLOOKUP(A446,DAY_8[],10,0)</f>
        <v>20</v>
      </c>
      <c r="J446" s="5">
        <f>VLOOKUP(A446,DAY_8[],11,0)</f>
        <v>2.4</v>
      </c>
    </row>
    <row r="447" spans="1:10" x14ac:dyDescent="0.25">
      <c r="A447" s="2" t="s">
        <v>914</v>
      </c>
      <c r="B447" s="2" t="str">
        <f>VLOOKUP(A447,DAY_8[],2,0)</f>
        <v>FL250446</v>
      </c>
      <c r="C447" t="str">
        <f>VLOOKUP(A447,DAY_8[],3,0)</f>
        <v>MALE</v>
      </c>
      <c r="D447">
        <f>VLOOKUP(A447,DAY_8[],4,0)</f>
        <v>24</v>
      </c>
      <c r="E447" t="str">
        <f>VLOOKUP(A447,DAY_8[],5,0)</f>
        <v>EGYPT</v>
      </c>
      <c r="F447" s="5" t="str">
        <f>VLOOKUP(A447,DAY_8[],6,0)</f>
        <v>ARABIC</v>
      </c>
      <c r="G447" s="5" t="str">
        <f>VLOOKUP(A447,DAY_8[],7,0)</f>
        <v>DEVOPS</v>
      </c>
      <c r="H447" s="5">
        <f>VLOOKUP(A447,DAY_8[],8,0)</f>
        <v>6</v>
      </c>
      <c r="I447" s="5">
        <f>VLOOKUP(A447,DAY_8[],10,0)</f>
        <v>75</v>
      </c>
      <c r="J447" s="5">
        <f>VLOOKUP(A447,DAY_8[],11,0)</f>
        <v>4.3</v>
      </c>
    </row>
    <row r="448" spans="1:10" x14ac:dyDescent="0.25">
      <c r="A448" s="2" t="s">
        <v>916</v>
      </c>
      <c r="B448" s="2" t="str">
        <f>VLOOKUP(A448,DAY_8[],2,0)</f>
        <v>FL250447</v>
      </c>
      <c r="C448" t="str">
        <f>VLOOKUP(A448,DAY_8[],3,0)</f>
        <v>MALE</v>
      </c>
      <c r="D448">
        <f>VLOOKUP(A448,DAY_8[],4,0)</f>
        <v>35</v>
      </c>
      <c r="E448" t="str">
        <f>VLOOKUP(A448,DAY_8[],5,0)</f>
        <v>UK</v>
      </c>
      <c r="F448" s="5" t="str">
        <f>VLOOKUP(A448,DAY_8[],6,0)</f>
        <v>ENGLISH</v>
      </c>
      <c r="G448" s="5" t="str">
        <f>VLOOKUP(A448,DAY_8[],7,0)</f>
        <v>AI</v>
      </c>
      <c r="H448" s="5">
        <f>VLOOKUP(A448,DAY_8[],8,0)</f>
        <v>8</v>
      </c>
      <c r="I448" s="5">
        <f>VLOOKUP(A448,DAY_8[],10,0)</f>
        <v>50</v>
      </c>
      <c r="J448" s="5">
        <f>VLOOKUP(A448,DAY_8[],11,0)</f>
        <v>2.4</v>
      </c>
    </row>
    <row r="449" spans="1:10" x14ac:dyDescent="0.25">
      <c r="A449" s="2" t="s">
        <v>918</v>
      </c>
      <c r="B449" s="2" t="str">
        <f>VLOOKUP(A449,DAY_8[],2,0)</f>
        <v>FL250448</v>
      </c>
      <c r="C449" t="str">
        <f>VLOOKUP(A449,DAY_8[],3,0)</f>
        <v>FEMALE</v>
      </c>
      <c r="D449">
        <f>VLOOKUP(A449,DAY_8[],4,0)</f>
        <v>22</v>
      </c>
      <c r="E449" t="str">
        <f>VLOOKUP(A449,DAY_8[],5,0)</f>
        <v>AUSTRALIA</v>
      </c>
      <c r="F449" s="5" t="str">
        <f>VLOOKUP(A449,DAY_8[],6,0)</f>
        <v>ENGLISH</v>
      </c>
      <c r="G449" s="5" t="str">
        <f>VLOOKUP(A449,DAY_8[],7,0)</f>
        <v>MOBILE APPS</v>
      </c>
      <c r="H449" s="5">
        <f>VLOOKUP(A449,DAY_8[],8,0)</f>
        <v>4</v>
      </c>
      <c r="I449" s="5">
        <f>VLOOKUP(A449,DAY_8[],10,0)</f>
        <v>20</v>
      </c>
      <c r="J449" s="5">
        <f>VLOOKUP(A449,DAY_8[],11,0)</f>
        <v>2.4</v>
      </c>
    </row>
    <row r="450" spans="1:10" x14ac:dyDescent="0.25">
      <c r="A450" s="2" t="s">
        <v>920</v>
      </c>
      <c r="B450" s="2" t="str">
        <f>VLOOKUP(A450,DAY_8[],2,0)</f>
        <v>FL250449</v>
      </c>
      <c r="C450" t="str">
        <f>VLOOKUP(A450,DAY_8[],3,0)</f>
        <v>FEMALE</v>
      </c>
      <c r="D450">
        <f>VLOOKUP(A450,DAY_8[],4,0)</f>
        <v>55</v>
      </c>
      <c r="E450" t="str">
        <f>VLOOKUP(A450,DAY_8[],5,0)</f>
        <v>EGYPT</v>
      </c>
      <c r="F450" s="5" t="str">
        <f>VLOOKUP(A450,DAY_8[],6,0)</f>
        <v>ARABIC</v>
      </c>
      <c r="G450" s="5" t="str">
        <f>VLOOKUP(A450,DAY_8[],7,0)</f>
        <v>AI</v>
      </c>
      <c r="H450" s="5">
        <f>VLOOKUP(A450,DAY_8[],8,0)</f>
        <v>3</v>
      </c>
      <c r="I450" s="5">
        <f>VLOOKUP(A450,DAY_8[],10,0)</f>
        <v>100</v>
      </c>
      <c r="J450" s="5">
        <f>VLOOKUP(A450,DAY_8[],11,0)</f>
        <v>2.4</v>
      </c>
    </row>
    <row r="451" spans="1:10" x14ac:dyDescent="0.25">
      <c r="A451" s="2" t="s">
        <v>922</v>
      </c>
      <c r="B451" s="2" t="str">
        <f>VLOOKUP(A451,DAY_8[],2,0)</f>
        <v>FL250450</v>
      </c>
      <c r="C451" t="str">
        <f>VLOOKUP(A451,DAY_8[],3,0)</f>
        <v>FEMALE</v>
      </c>
      <c r="D451">
        <f>VLOOKUP(A451,DAY_8[],4,0)</f>
        <v>54</v>
      </c>
      <c r="E451" t="str">
        <f>VLOOKUP(A451,DAY_8[],5,0)</f>
        <v>ARGENTINA</v>
      </c>
      <c r="F451" s="5" t="str">
        <f>VLOOKUP(A451,DAY_8[],6,0)</f>
        <v>SPANISH</v>
      </c>
      <c r="G451" s="5" t="str">
        <f>VLOOKUP(A451,DAY_8[],7,0)</f>
        <v>MACHINE LEARNING</v>
      </c>
      <c r="H451" s="5">
        <f>VLOOKUP(A451,DAY_8[],8,0)</f>
        <v>10</v>
      </c>
      <c r="I451" s="5">
        <f>VLOOKUP(A451,DAY_8[],10,0)</f>
        <v>30</v>
      </c>
      <c r="J451" s="5">
        <f>VLOOKUP(A451,DAY_8[],11,0)</f>
        <v>2.9</v>
      </c>
    </row>
    <row r="452" spans="1:10" x14ac:dyDescent="0.25">
      <c r="A452" s="2" t="s">
        <v>924</v>
      </c>
      <c r="B452" s="2" t="str">
        <f>VLOOKUP(A452,DAY_8[],2,0)</f>
        <v>FL250451</v>
      </c>
      <c r="C452" t="str">
        <f>VLOOKUP(A452,DAY_8[],3,0)</f>
        <v>FEMALE</v>
      </c>
      <c r="D452">
        <f>VLOOKUP(A452,DAY_8[],4,0)</f>
        <v>36</v>
      </c>
      <c r="E452" t="str">
        <f>VLOOKUP(A452,DAY_8[],5,0)</f>
        <v>NETHERLANDS</v>
      </c>
      <c r="F452" s="5" t="str">
        <f>VLOOKUP(A452,DAY_8[],6,0)</f>
        <v>DUTCH</v>
      </c>
      <c r="G452" s="5" t="str">
        <f>VLOOKUP(A452,DAY_8[],7,0)</f>
        <v>CYBERSECURITY</v>
      </c>
      <c r="H452" s="5">
        <f>VLOOKUP(A452,DAY_8[],8,0)</f>
        <v>11</v>
      </c>
      <c r="I452" s="5">
        <f>VLOOKUP(A452,DAY_8[],10,0)</f>
        <v>30</v>
      </c>
      <c r="J452" s="5">
        <f>VLOOKUP(A452,DAY_8[],11,0)</f>
        <v>0</v>
      </c>
    </row>
    <row r="453" spans="1:10" x14ac:dyDescent="0.25">
      <c r="A453" s="2" t="s">
        <v>926</v>
      </c>
      <c r="B453" s="2" t="str">
        <f>VLOOKUP(A453,DAY_8[],2,0)</f>
        <v>FL250452</v>
      </c>
      <c r="C453" t="str">
        <f>VLOOKUP(A453,DAY_8[],3,0)</f>
        <v>FEMALE</v>
      </c>
      <c r="D453">
        <f>VLOOKUP(A453,DAY_8[],4,0)</f>
        <v>36</v>
      </c>
      <c r="E453" t="str">
        <f>VLOOKUP(A453,DAY_8[],5,0)</f>
        <v>NETHERLANDS</v>
      </c>
      <c r="F453" s="5" t="str">
        <f>VLOOKUP(A453,DAY_8[],6,0)</f>
        <v>DUTCH</v>
      </c>
      <c r="G453" s="5" t="str">
        <f>VLOOKUP(A453,DAY_8[],7,0)</f>
        <v>AI</v>
      </c>
      <c r="H453" s="5">
        <f>VLOOKUP(A453,DAY_8[],8,0)</f>
        <v>17</v>
      </c>
      <c r="I453" s="5">
        <f>VLOOKUP(A453,DAY_8[],10,0)</f>
        <v>50</v>
      </c>
      <c r="J453" s="5">
        <f>VLOOKUP(A453,DAY_8[],11,0)</f>
        <v>1.3</v>
      </c>
    </row>
    <row r="454" spans="1:10" x14ac:dyDescent="0.25">
      <c r="A454" s="2" t="s">
        <v>928</v>
      </c>
      <c r="B454" s="2" t="str">
        <f>VLOOKUP(A454,DAY_8[],2,0)</f>
        <v>FL250453</v>
      </c>
      <c r="C454" t="str">
        <f>VLOOKUP(A454,DAY_8[],3,0)</f>
        <v>FEMALE</v>
      </c>
      <c r="D454">
        <f>VLOOKUP(A454,DAY_8[],4,0)</f>
        <v>25</v>
      </c>
      <c r="E454" t="str">
        <f>VLOOKUP(A454,DAY_8[],5,0)</f>
        <v>ARGENTINA</v>
      </c>
      <c r="F454" s="5" t="str">
        <f>VLOOKUP(A454,DAY_8[],6,0)</f>
        <v>SPANISH</v>
      </c>
      <c r="G454" s="5" t="str">
        <f>VLOOKUP(A454,DAY_8[],7,0)</f>
        <v>WEB DEVELOPMENT</v>
      </c>
      <c r="H454" s="5">
        <f>VLOOKUP(A454,DAY_8[],8,0)</f>
        <v>1</v>
      </c>
      <c r="I454" s="5">
        <f>VLOOKUP(A454,DAY_8[],10,0)</f>
        <v>75</v>
      </c>
      <c r="J454" s="5">
        <f>VLOOKUP(A454,DAY_8[],11,0)</f>
        <v>0</v>
      </c>
    </row>
    <row r="455" spans="1:10" x14ac:dyDescent="0.25">
      <c r="A455" s="2" t="s">
        <v>930</v>
      </c>
      <c r="B455" s="2" t="str">
        <f>VLOOKUP(A455,DAY_8[],2,0)</f>
        <v>FL250454</v>
      </c>
      <c r="C455" t="str">
        <f>VLOOKUP(A455,DAY_8[],3,0)</f>
        <v>MALE</v>
      </c>
      <c r="D455">
        <f>VLOOKUP(A455,DAY_8[],4,0)</f>
        <v>46</v>
      </c>
      <c r="E455" t="str">
        <f>VLOOKUP(A455,DAY_8[],5,0)</f>
        <v>INDONESIA</v>
      </c>
      <c r="F455" s="5" t="str">
        <f>VLOOKUP(A455,DAY_8[],6,0)</f>
        <v>INDONESIAN</v>
      </c>
      <c r="G455" s="5" t="str">
        <f>VLOOKUP(A455,DAY_8[],7,0)</f>
        <v>AI</v>
      </c>
      <c r="H455" s="5">
        <f>VLOOKUP(A455,DAY_8[],8,0)</f>
        <v>16</v>
      </c>
      <c r="I455" s="5">
        <f>VLOOKUP(A455,DAY_8[],10,0)</f>
        <v>20</v>
      </c>
      <c r="J455" s="5">
        <f>VLOOKUP(A455,DAY_8[],11,0)</f>
        <v>4.8</v>
      </c>
    </row>
    <row r="456" spans="1:10" x14ac:dyDescent="0.25">
      <c r="A456" s="2" t="s">
        <v>1074</v>
      </c>
      <c r="B456" s="2" t="str">
        <f>VLOOKUP(A456,DAY_8[],2,0)</f>
        <v>FL250455</v>
      </c>
      <c r="C456" t="str">
        <f>VLOOKUP(A456,DAY_8[],3,0)</f>
        <v>MALE</v>
      </c>
      <c r="D456">
        <f>VLOOKUP(A456,DAY_8[],4,0)</f>
        <v>41</v>
      </c>
      <c r="E456" t="str">
        <f>VLOOKUP(A456,DAY_8[],5,0)</f>
        <v>ARGENTINA</v>
      </c>
      <c r="F456" s="5" t="str">
        <f>VLOOKUP(A456,DAY_8[],6,0)</f>
        <v>SPANISH</v>
      </c>
      <c r="G456" s="5" t="str">
        <f>VLOOKUP(A456,DAY_8[],7,0)</f>
        <v>MACHINE LEARNING</v>
      </c>
      <c r="H456" s="5">
        <f>VLOOKUP(A456,DAY_8[],8,0)</f>
        <v>11</v>
      </c>
      <c r="I456" s="5">
        <f>VLOOKUP(A456,DAY_8[],10,0)</f>
        <v>40</v>
      </c>
      <c r="J456" s="5">
        <f>VLOOKUP(A456,DAY_8[],11,0)</f>
        <v>2.4</v>
      </c>
    </row>
    <row r="457" spans="1:10" x14ac:dyDescent="0.25">
      <c r="A457" s="2" t="s">
        <v>933</v>
      </c>
      <c r="B457" s="2" t="str">
        <f>VLOOKUP(A457,DAY_8[],2,0)</f>
        <v>FL250456</v>
      </c>
      <c r="C457" t="str">
        <f>VLOOKUP(A457,DAY_8[],3,0)</f>
        <v>FEMALE</v>
      </c>
      <c r="D457">
        <f>VLOOKUP(A457,DAY_8[],4,0)</f>
        <v>21</v>
      </c>
      <c r="E457" t="str">
        <f>VLOOKUP(A457,DAY_8[],5,0)</f>
        <v>RUSSIA</v>
      </c>
      <c r="F457" s="5" t="str">
        <f>VLOOKUP(A457,DAY_8[],6,0)</f>
        <v>RUSSIAN</v>
      </c>
      <c r="G457" s="5" t="str">
        <f>VLOOKUP(A457,DAY_8[],7,0)</f>
        <v>MOBILE APPS</v>
      </c>
      <c r="H457" s="5">
        <f>VLOOKUP(A457,DAY_8[],8,0)</f>
        <v>3</v>
      </c>
      <c r="I457" s="5">
        <f>VLOOKUP(A457,DAY_8[],10,0)</f>
        <v>100</v>
      </c>
      <c r="J457" s="5">
        <f>VLOOKUP(A457,DAY_8[],11,0)</f>
        <v>4.7</v>
      </c>
    </row>
    <row r="458" spans="1:10" x14ac:dyDescent="0.25">
      <c r="A458" s="2" t="s">
        <v>935</v>
      </c>
      <c r="B458" s="2" t="str">
        <f>VLOOKUP(A458,DAY_8[],2,0)</f>
        <v>FL250457</v>
      </c>
      <c r="C458" t="str">
        <f>VLOOKUP(A458,DAY_8[],3,0)</f>
        <v>MALE</v>
      </c>
      <c r="D458">
        <f>VLOOKUP(A458,DAY_8[],4,0)</f>
        <v>29</v>
      </c>
      <c r="E458" t="str">
        <f>VLOOKUP(A458,DAY_8[],5,0)</f>
        <v>US</v>
      </c>
      <c r="F458" s="5" t="str">
        <f>VLOOKUP(A458,DAY_8[],6,0)</f>
        <v>ENGLISH</v>
      </c>
      <c r="G458" s="5" t="str">
        <f>VLOOKUP(A458,DAY_8[],7,0)</f>
        <v>GRAPHIC DESIGN</v>
      </c>
      <c r="H458" s="5">
        <f>VLOOKUP(A458,DAY_8[],8,0)</f>
        <v>10</v>
      </c>
      <c r="I458" s="5">
        <f>VLOOKUP(A458,DAY_8[],10,0)</f>
        <v>75</v>
      </c>
      <c r="J458" s="5">
        <f>VLOOKUP(A458,DAY_8[],11,0)</f>
        <v>2</v>
      </c>
    </row>
    <row r="459" spans="1:10" x14ac:dyDescent="0.25">
      <c r="A459" s="2" t="s">
        <v>937</v>
      </c>
      <c r="B459" s="2" t="str">
        <f>VLOOKUP(A459,DAY_8[],2,0)</f>
        <v>FL250458</v>
      </c>
      <c r="C459" t="str">
        <f>VLOOKUP(A459,DAY_8[],3,0)</f>
        <v>FEMALE</v>
      </c>
      <c r="D459">
        <f>VLOOKUP(A459,DAY_8[],4,0)</f>
        <v>44</v>
      </c>
      <c r="E459" t="str">
        <f>VLOOKUP(A459,DAY_8[],5,0)</f>
        <v>US</v>
      </c>
      <c r="F459" s="5" t="str">
        <f>VLOOKUP(A459,DAY_8[],6,0)</f>
        <v>ENGLISH</v>
      </c>
      <c r="G459" s="5" t="str">
        <f>VLOOKUP(A459,DAY_8[],7,0)</f>
        <v>MOBILE APPS</v>
      </c>
      <c r="H459" s="5">
        <f>VLOOKUP(A459,DAY_8[],8,0)</f>
        <v>3</v>
      </c>
      <c r="I459" s="5">
        <f>VLOOKUP(A459,DAY_8[],10,0)</f>
        <v>50</v>
      </c>
      <c r="J459" s="5">
        <f>VLOOKUP(A459,DAY_8[],11,0)</f>
        <v>2.2000000000000002</v>
      </c>
    </row>
    <row r="460" spans="1:10" x14ac:dyDescent="0.25">
      <c r="A460" s="2" t="s">
        <v>939</v>
      </c>
      <c r="B460" s="2" t="str">
        <f>VLOOKUP(A460,DAY_8[],2,0)</f>
        <v>FL250459</v>
      </c>
      <c r="C460" t="str">
        <f>VLOOKUP(A460,DAY_8[],3,0)</f>
        <v>MALE</v>
      </c>
      <c r="D460">
        <f>VLOOKUP(A460,DAY_8[],4,0)</f>
        <v>40</v>
      </c>
      <c r="E460" t="str">
        <f>VLOOKUP(A460,DAY_8[],5,0)</f>
        <v>CANADA</v>
      </c>
      <c r="F460" s="5" t="str">
        <f>VLOOKUP(A460,DAY_8[],6,0)</f>
        <v>ENGLISH</v>
      </c>
      <c r="G460" s="5" t="str">
        <f>VLOOKUP(A460,DAY_8[],7,0)</f>
        <v>MACHINE LEARNING</v>
      </c>
      <c r="H460" s="5">
        <f>VLOOKUP(A460,DAY_8[],8,0)</f>
        <v>1</v>
      </c>
      <c r="I460" s="5">
        <f>VLOOKUP(A460,DAY_8[],10,0)</f>
        <v>100</v>
      </c>
      <c r="J460" s="5">
        <f>VLOOKUP(A460,DAY_8[],11,0)</f>
        <v>2.1</v>
      </c>
    </row>
    <row r="461" spans="1:10" x14ac:dyDescent="0.25">
      <c r="A461" s="2" t="s">
        <v>941</v>
      </c>
      <c r="B461" s="2" t="str">
        <f>VLOOKUP(A461,DAY_8[],2,0)</f>
        <v>FL250460</v>
      </c>
      <c r="C461" t="str">
        <f>VLOOKUP(A461,DAY_8[],3,0)</f>
        <v>FEMALE</v>
      </c>
      <c r="D461">
        <f>VLOOKUP(A461,DAY_8[],4,0)</f>
        <v>27</v>
      </c>
      <c r="E461" t="str">
        <f>VLOOKUP(A461,DAY_8[],5,0)</f>
        <v>EGYPT</v>
      </c>
      <c r="F461" s="5" t="str">
        <f>VLOOKUP(A461,DAY_8[],6,0)</f>
        <v>ARABIC</v>
      </c>
      <c r="G461" s="5" t="str">
        <f>VLOOKUP(A461,DAY_8[],7,0)</f>
        <v>DATA ANALYSIS</v>
      </c>
      <c r="H461" s="5">
        <f>VLOOKUP(A461,DAY_8[],8,0)</f>
        <v>1</v>
      </c>
      <c r="I461" s="5">
        <f>VLOOKUP(A461,DAY_8[],10,0)</f>
        <v>30</v>
      </c>
      <c r="J461" s="5">
        <f>VLOOKUP(A461,DAY_8[],11,0)</f>
        <v>1.7</v>
      </c>
    </row>
    <row r="462" spans="1:10" x14ac:dyDescent="0.25">
      <c r="A462" s="2" t="s">
        <v>943</v>
      </c>
      <c r="B462" s="2" t="str">
        <f>VLOOKUP(A462,DAY_8[],2,0)</f>
        <v>FL250461</v>
      </c>
      <c r="C462" t="str">
        <f>VLOOKUP(A462,DAY_8[],3,0)</f>
        <v>MALE</v>
      </c>
      <c r="D462">
        <f>VLOOKUP(A462,DAY_8[],4,0)</f>
        <v>53</v>
      </c>
      <c r="E462" t="str">
        <f>VLOOKUP(A462,DAY_8[],5,0)</f>
        <v>FRANCE</v>
      </c>
      <c r="F462" s="5" t="str">
        <f>VLOOKUP(A462,DAY_8[],6,0)</f>
        <v>FRENCH</v>
      </c>
      <c r="G462" s="5" t="str">
        <f>VLOOKUP(A462,DAY_8[],7,0)</f>
        <v>MOBILE APPS</v>
      </c>
      <c r="H462" s="5">
        <f>VLOOKUP(A462,DAY_8[],8,0)</f>
        <v>35</v>
      </c>
      <c r="I462" s="5">
        <f>VLOOKUP(A462,DAY_8[],10,0)</f>
        <v>70</v>
      </c>
      <c r="J462" s="5">
        <f>VLOOKUP(A462,DAY_8[],11,0)</f>
        <v>5</v>
      </c>
    </row>
    <row r="463" spans="1:10" x14ac:dyDescent="0.25">
      <c r="A463" s="2" t="s">
        <v>1075</v>
      </c>
      <c r="B463" s="2" t="str">
        <f>VLOOKUP(A463,DAY_8[],2,0)</f>
        <v>FL250462</v>
      </c>
      <c r="C463" t="str">
        <f>VLOOKUP(A463,DAY_8[],3,0)</f>
        <v>MALE</v>
      </c>
      <c r="D463">
        <f>VLOOKUP(A463,DAY_8[],4,0)</f>
        <v>20</v>
      </c>
      <c r="E463" t="str">
        <f>VLOOKUP(A463,DAY_8[],5,0)</f>
        <v>TURKEY</v>
      </c>
      <c r="F463" s="5" t="str">
        <f>VLOOKUP(A463,DAY_8[],6,0)</f>
        <v>TURKISH</v>
      </c>
      <c r="G463" s="5" t="str">
        <f>VLOOKUP(A463,DAY_8[],7,0)</f>
        <v>DATA ANALYSIS</v>
      </c>
      <c r="H463" s="5">
        <f>VLOOKUP(A463,DAY_8[],8,0)</f>
        <v>1</v>
      </c>
      <c r="I463" s="5">
        <f>VLOOKUP(A463,DAY_8[],10,0)</f>
        <v>50</v>
      </c>
      <c r="J463" s="5">
        <f>VLOOKUP(A463,DAY_8[],11,0)</f>
        <v>2.9</v>
      </c>
    </row>
    <row r="464" spans="1:10" x14ac:dyDescent="0.25">
      <c r="A464" s="2" t="s">
        <v>946</v>
      </c>
      <c r="B464" s="2" t="str">
        <f>VLOOKUP(A464,DAY_8[],2,0)</f>
        <v>FL250463</v>
      </c>
      <c r="C464" t="str">
        <f>VLOOKUP(A464,DAY_8[],3,0)</f>
        <v>FEMALE</v>
      </c>
      <c r="D464">
        <f>VLOOKUP(A464,DAY_8[],4,0)</f>
        <v>41</v>
      </c>
      <c r="E464" t="str">
        <f>VLOOKUP(A464,DAY_8[],5,0)</f>
        <v>JAPAN</v>
      </c>
      <c r="F464" s="5" t="str">
        <f>VLOOKUP(A464,DAY_8[],6,0)</f>
        <v>JAPANESE</v>
      </c>
      <c r="G464" s="5" t="str">
        <f>VLOOKUP(A464,DAY_8[],7,0)</f>
        <v>DEVOPS</v>
      </c>
      <c r="H464" s="5">
        <f>VLOOKUP(A464,DAY_8[],8,0)</f>
        <v>12</v>
      </c>
      <c r="I464" s="5">
        <f>VLOOKUP(A464,DAY_8[],10,0)</f>
        <v>50</v>
      </c>
      <c r="J464" s="5">
        <f>VLOOKUP(A464,DAY_8[],11,0)</f>
        <v>4.0999999999999996</v>
      </c>
    </row>
    <row r="465" spans="1:10" x14ac:dyDescent="0.25">
      <c r="A465" s="2" t="s">
        <v>948</v>
      </c>
      <c r="B465" s="2" t="str">
        <f>VLOOKUP(A465,DAY_8[],2,0)</f>
        <v>FL250464</v>
      </c>
      <c r="C465" t="str">
        <f>VLOOKUP(A465,DAY_8[],3,0)</f>
        <v>MALE</v>
      </c>
      <c r="D465">
        <f>VLOOKUP(A465,DAY_8[],4,0)</f>
        <v>26</v>
      </c>
      <c r="E465" t="str">
        <f>VLOOKUP(A465,DAY_8[],5,0)</f>
        <v>MEXICO</v>
      </c>
      <c r="F465" s="5" t="str">
        <f>VLOOKUP(A465,DAY_8[],6,0)</f>
        <v>SPANISH</v>
      </c>
      <c r="G465" s="5" t="str">
        <f>VLOOKUP(A465,DAY_8[],7,0)</f>
        <v>WEB DEVELOPMENT</v>
      </c>
      <c r="H465" s="5">
        <f>VLOOKUP(A465,DAY_8[],8,0)</f>
        <v>8</v>
      </c>
      <c r="I465" s="5">
        <f>VLOOKUP(A465,DAY_8[],10,0)</f>
        <v>40</v>
      </c>
      <c r="J465" s="5">
        <f>VLOOKUP(A465,DAY_8[],11,0)</f>
        <v>4.9000000000000004</v>
      </c>
    </row>
    <row r="466" spans="1:10" x14ac:dyDescent="0.25">
      <c r="A466" s="2" t="s">
        <v>950</v>
      </c>
      <c r="B466" s="2" t="str">
        <f>VLOOKUP(A466,DAY_8[],2,0)</f>
        <v>FL250465</v>
      </c>
      <c r="C466" t="str">
        <f>VLOOKUP(A466,DAY_8[],3,0)</f>
        <v>FEMALE</v>
      </c>
      <c r="D466">
        <f>VLOOKUP(A466,DAY_8[],4,0)</f>
        <v>49</v>
      </c>
      <c r="E466" t="str">
        <f>VLOOKUP(A466,DAY_8[],5,0)</f>
        <v>BRAZIL</v>
      </c>
      <c r="F466" s="5" t="str">
        <f>VLOOKUP(A466,DAY_8[],6,0)</f>
        <v>PORTUGUESE</v>
      </c>
      <c r="G466" s="5" t="str">
        <f>VLOOKUP(A466,DAY_8[],7,0)</f>
        <v>MACHINE LEARNING</v>
      </c>
      <c r="H466" s="5">
        <f>VLOOKUP(A466,DAY_8[],8,0)</f>
        <v>13</v>
      </c>
      <c r="I466" s="5">
        <f>VLOOKUP(A466,DAY_8[],10,0)</f>
        <v>100</v>
      </c>
      <c r="J466" s="5">
        <f>VLOOKUP(A466,DAY_8[],11,0)</f>
        <v>2.4</v>
      </c>
    </row>
    <row r="467" spans="1:10" x14ac:dyDescent="0.25">
      <c r="A467" s="2" t="s">
        <v>952</v>
      </c>
      <c r="B467" s="2" t="str">
        <f>VLOOKUP(A467,DAY_8[],2,0)</f>
        <v>FL250466</v>
      </c>
      <c r="C467" t="str">
        <f>VLOOKUP(A467,DAY_8[],3,0)</f>
        <v>FEMALE</v>
      </c>
      <c r="D467">
        <f>VLOOKUP(A467,DAY_8[],4,0)</f>
        <v>20</v>
      </c>
      <c r="E467" t="str">
        <f>VLOOKUP(A467,DAY_8[],5,0)</f>
        <v>EGYPT</v>
      </c>
      <c r="F467" s="5" t="str">
        <f>VLOOKUP(A467,DAY_8[],6,0)</f>
        <v>ARABIC</v>
      </c>
      <c r="G467" s="5" t="str">
        <f>VLOOKUP(A467,DAY_8[],7,0)</f>
        <v>DATA ANALYSIS</v>
      </c>
      <c r="H467" s="5">
        <f>VLOOKUP(A467,DAY_8[],8,0)</f>
        <v>0</v>
      </c>
      <c r="I467" s="5">
        <f>VLOOKUP(A467,DAY_8[],10,0)</f>
        <v>30</v>
      </c>
      <c r="J467" s="5">
        <f>VLOOKUP(A467,DAY_8[],11,0)</f>
        <v>0</v>
      </c>
    </row>
    <row r="468" spans="1:10" x14ac:dyDescent="0.25">
      <c r="A468" s="2" t="s">
        <v>954</v>
      </c>
      <c r="B468" s="2" t="str">
        <f>VLOOKUP(A468,DAY_8[],2,0)</f>
        <v>FL250467</v>
      </c>
      <c r="C468" t="str">
        <f>VLOOKUP(A468,DAY_8[],3,0)</f>
        <v>FEMALE</v>
      </c>
      <c r="D468">
        <f>VLOOKUP(A468,DAY_8[],4,0)</f>
        <v>39</v>
      </c>
      <c r="E468" t="str">
        <f>VLOOKUP(A468,DAY_8[],5,0)</f>
        <v>CHINA</v>
      </c>
      <c r="F468" s="5" t="str">
        <f>VLOOKUP(A468,DAY_8[],6,0)</f>
        <v>MANDARIN</v>
      </c>
      <c r="G468" s="5" t="str">
        <f>VLOOKUP(A468,DAY_8[],7,0)</f>
        <v>BLOCKCHAIN DEVELOPMENT</v>
      </c>
      <c r="H468" s="5">
        <f>VLOOKUP(A468,DAY_8[],8,0)</f>
        <v>11</v>
      </c>
      <c r="I468" s="5">
        <f>VLOOKUP(A468,DAY_8[],10,0)</f>
        <v>100</v>
      </c>
      <c r="J468" s="5">
        <f>VLOOKUP(A468,DAY_8[],11,0)</f>
        <v>2.8</v>
      </c>
    </row>
    <row r="469" spans="1:10" x14ac:dyDescent="0.25">
      <c r="A469" s="2" t="s">
        <v>956</v>
      </c>
      <c r="B469" s="2" t="str">
        <f>VLOOKUP(A469,DAY_8[],2,0)</f>
        <v>FL250468</v>
      </c>
      <c r="C469" t="str">
        <f>VLOOKUP(A469,DAY_8[],3,0)</f>
        <v>FEMALE</v>
      </c>
      <c r="D469">
        <f>VLOOKUP(A469,DAY_8[],4,0)</f>
        <v>41</v>
      </c>
      <c r="E469" t="str">
        <f>VLOOKUP(A469,DAY_8[],5,0)</f>
        <v>CHINA</v>
      </c>
      <c r="F469" s="5" t="str">
        <f>VLOOKUP(A469,DAY_8[],6,0)</f>
        <v>MANDARIN</v>
      </c>
      <c r="G469" s="5" t="str">
        <f>VLOOKUP(A469,DAY_8[],7,0)</f>
        <v>MACHINE LEARNING</v>
      </c>
      <c r="H469" s="5">
        <f>VLOOKUP(A469,DAY_8[],8,0)</f>
        <v>19</v>
      </c>
      <c r="I469" s="5">
        <f>VLOOKUP(A469,DAY_8[],10,0)</f>
        <v>100</v>
      </c>
      <c r="J469" s="5">
        <f>VLOOKUP(A469,DAY_8[],11,0)</f>
        <v>3.8</v>
      </c>
    </row>
    <row r="470" spans="1:10" x14ac:dyDescent="0.25">
      <c r="A470" s="2" t="s">
        <v>958</v>
      </c>
      <c r="B470" s="2" t="str">
        <f>VLOOKUP(A470,DAY_8[],2,0)</f>
        <v>FL250469</v>
      </c>
      <c r="C470" t="str">
        <f>VLOOKUP(A470,DAY_8[],3,0)</f>
        <v>MALE</v>
      </c>
      <c r="D470">
        <f>VLOOKUP(A470,DAY_8[],4,0)</f>
        <v>59</v>
      </c>
      <c r="E470" t="str">
        <f>VLOOKUP(A470,DAY_8[],5,0)</f>
        <v>CANADA</v>
      </c>
      <c r="F470" s="5" t="str">
        <f>VLOOKUP(A470,DAY_8[],6,0)</f>
        <v>ENGLISH</v>
      </c>
      <c r="G470" s="5" t="str">
        <f>VLOOKUP(A470,DAY_8[],7,0)</f>
        <v>MOBILE APPS</v>
      </c>
      <c r="H470" s="5">
        <f>VLOOKUP(A470,DAY_8[],8,0)</f>
        <v>30</v>
      </c>
      <c r="I470" s="5">
        <f>VLOOKUP(A470,DAY_8[],10,0)</f>
        <v>30</v>
      </c>
      <c r="J470" s="5">
        <f>VLOOKUP(A470,DAY_8[],11,0)</f>
        <v>4.3</v>
      </c>
    </row>
    <row r="471" spans="1:10" x14ac:dyDescent="0.25">
      <c r="A471" s="2" t="s">
        <v>960</v>
      </c>
      <c r="B471" s="2" t="str">
        <f>VLOOKUP(A471,DAY_8[],2,0)</f>
        <v>FL250470</v>
      </c>
      <c r="C471" t="str">
        <f>VLOOKUP(A471,DAY_8[],3,0)</f>
        <v>FEMALE</v>
      </c>
      <c r="D471">
        <f>VLOOKUP(A471,DAY_8[],4,0)</f>
        <v>45</v>
      </c>
      <c r="E471" t="str">
        <f>VLOOKUP(A471,DAY_8[],5,0)</f>
        <v>AUSTRALIA</v>
      </c>
      <c r="F471" s="5" t="str">
        <f>VLOOKUP(A471,DAY_8[],6,0)</f>
        <v>ENGLISH</v>
      </c>
      <c r="G471" s="5" t="str">
        <f>VLOOKUP(A471,DAY_8[],7,0)</f>
        <v>BLOCKCHAIN DEVELOPMENT</v>
      </c>
      <c r="H471" s="5">
        <f>VLOOKUP(A471,DAY_8[],8,0)</f>
        <v>8</v>
      </c>
      <c r="I471" s="5">
        <f>VLOOKUP(A471,DAY_8[],10,0)</f>
        <v>40</v>
      </c>
      <c r="J471" s="5">
        <f>VLOOKUP(A471,DAY_8[],11,0)</f>
        <v>0</v>
      </c>
    </row>
    <row r="472" spans="1:10" x14ac:dyDescent="0.25">
      <c r="A472" s="2" t="s">
        <v>962</v>
      </c>
      <c r="B472" s="2" t="str">
        <f>VLOOKUP(A472,DAY_8[],2,0)</f>
        <v>FL250471</v>
      </c>
      <c r="C472" t="str">
        <f>VLOOKUP(A472,DAY_8[],3,0)</f>
        <v>MALE</v>
      </c>
      <c r="D472">
        <f>VLOOKUP(A472,DAY_8[],4,0)</f>
        <v>22</v>
      </c>
      <c r="E472" t="str">
        <f>VLOOKUP(A472,DAY_8[],5,0)</f>
        <v>INDONESIA</v>
      </c>
      <c r="F472" s="5" t="str">
        <f>VLOOKUP(A472,DAY_8[],6,0)</f>
        <v>INDONESIAN</v>
      </c>
      <c r="G472" s="5" t="str">
        <f>VLOOKUP(A472,DAY_8[],7,0)</f>
        <v>CYBERSECURITY</v>
      </c>
      <c r="H472" s="5">
        <f>VLOOKUP(A472,DAY_8[],8,0)</f>
        <v>0</v>
      </c>
      <c r="I472" s="5">
        <f>VLOOKUP(A472,DAY_8[],10,0)</f>
        <v>40</v>
      </c>
      <c r="J472" s="5">
        <f>VLOOKUP(A472,DAY_8[],11,0)</f>
        <v>1.3</v>
      </c>
    </row>
    <row r="473" spans="1:10" x14ac:dyDescent="0.25">
      <c r="A473" s="2" t="s">
        <v>964</v>
      </c>
      <c r="B473" s="2" t="str">
        <f>VLOOKUP(A473,DAY_8[],2,0)</f>
        <v>FL250472</v>
      </c>
      <c r="C473" t="str">
        <f>VLOOKUP(A473,DAY_8[],3,0)</f>
        <v>FEMALE</v>
      </c>
      <c r="D473">
        <f>VLOOKUP(A473,DAY_8[],4,0)</f>
        <v>48</v>
      </c>
      <c r="E473" t="str">
        <f>VLOOKUP(A473,DAY_8[],5,0)</f>
        <v>INDIA</v>
      </c>
      <c r="F473" s="5" t="str">
        <f>VLOOKUP(A473,DAY_8[],6,0)</f>
        <v>HINDI</v>
      </c>
      <c r="G473" s="5" t="str">
        <f>VLOOKUP(A473,DAY_8[],7,0)</f>
        <v>MOBILE APPS</v>
      </c>
      <c r="H473" s="5">
        <f>VLOOKUP(A473,DAY_8[],8,0)</f>
        <v>7</v>
      </c>
      <c r="I473" s="5">
        <f>VLOOKUP(A473,DAY_8[],10,0)</f>
        <v>50</v>
      </c>
      <c r="J473" s="5">
        <f>VLOOKUP(A473,DAY_8[],11,0)</f>
        <v>4.7</v>
      </c>
    </row>
    <row r="474" spans="1:10" x14ac:dyDescent="0.25">
      <c r="A474" s="2" t="s">
        <v>966</v>
      </c>
      <c r="B474" s="2" t="str">
        <f>VLOOKUP(A474,DAY_8[],2,0)</f>
        <v>FL250473</v>
      </c>
      <c r="C474" t="str">
        <f>VLOOKUP(A474,DAY_8[],3,0)</f>
        <v>MALE</v>
      </c>
      <c r="D474">
        <f>VLOOKUP(A474,DAY_8[],4,0)</f>
        <v>36</v>
      </c>
      <c r="E474" t="str">
        <f>VLOOKUP(A474,DAY_8[],5,0)</f>
        <v>FRANCE</v>
      </c>
      <c r="F474" s="5" t="str">
        <f>VLOOKUP(A474,DAY_8[],6,0)</f>
        <v>FRENCH</v>
      </c>
      <c r="G474" s="5" t="str">
        <f>VLOOKUP(A474,DAY_8[],7,0)</f>
        <v>BLOCKCHAIN DEVELOPMENT</v>
      </c>
      <c r="H474" s="5">
        <f>VLOOKUP(A474,DAY_8[],8,0)</f>
        <v>11</v>
      </c>
      <c r="I474" s="5">
        <f>VLOOKUP(A474,DAY_8[],10,0)</f>
        <v>40</v>
      </c>
      <c r="J474" s="5">
        <f>VLOOKUP(A474,DAY_8[],11,0)</f>
        <v>1.3</v>
      </c>
    </row>
    <row r="475" spans="1:10" x14ac:dyDescent="0.25">
      <c r="A475" s="2" t="s">
        <v>968</v>
      </c>
      <c r="B475" s="2" t="str">
        <f>VLOOKUP(A475,DAY_8[],2,0)</f>
        <v>FL250474</v>
      </c>
      <c r="C475" t="str">
        <f>VLOOKUP(A475,DAY_8[],3,0)</f>
        <v>FEMALE</v>
      </c>
      <c r="D475">
        <f>VLOOKUP(A475,DAY_8[],4,0)</f>
        <v>57</v>
      </c>
      <c r="E475" t="str">
        <f>VLOOKUP(A475,DAY_8[],5,0)</f>
        <v>CHINA</v>
      </c>
      <c r="F475" s="5" t="str">
        <f>VLOOKUP(A475,DAY_8[],6,0)</f>
        <v>MANDARIN</v>
      </c>
      <c r="G475" s="5" t="str">
        <f>VLOOKUP(A475,DAY_8[],7,0)</f>
        <v>BLOCKCHAIN DEVELOPMENT</v>
      </c>
      <c r="H475" s="5">
        <f>VLOOKUP(A475,DAY_8[],8,0)</f>
        <v>10</v>
      </c>
      <c r="I475" s="5">
        <f>VLOOKUP(A475,DAY_8[],10,0)</f>
        <v>75</v>
      </c>
      <c r="J475" s="5">
        <f>VLOOKUP(A475,DAY_8[],11,0)</f>
        <v>4.8</v>
      </c>
    </row>
    <row r="476" spans="1:10" x14ac:dyDescent="0.25">
      <c r="A476" s="2" t="s">
        <v>970</v>
      </c>
      <c r="B476" s="2" t="str">
        <f>VLOOKUP(A476,DAY_8[],2,0)</f>
        <v>FL250475</v>
      </c>
      <c r="C476" t="str">
        <f>VLOOKUP(A476,DAY_8[],3,0)</f>
        <v>MALE</v>
      </c>
      <c r="D476">
        <f>VLOOKUP(A476,DAY_8[],4,0)</f>
        <v>42</v>
      </c>
      <c r="E476" t="str">
        <f>VLOOKUP(A476,DAY_8[],5,0)</f>
        <v>US</v>
      </c>
      <c r="F476" s="5" t="str">
        <f>VLOOKUP(A476,DAY_8[],6,0)</f>
        <v>ENGLISH</v>
      </c>
      <c r="G476" s="5" t="str">
        <f>VLOOKUP(A476,DAY_8[],7,0)</f>
        <v>UI/UX DESIGN</v>
      </c>
      <c r="H476" s="5">
        <f>VLOOKUP(A476,DAY_8[],8,0)</f>
        <v>14</v>
      </c>
      <c r="I476" s="5">
        <f>VLOOKUP(A476,DAY_8[],10,0)</f>
        <v>30</v>
      </c>
      <c r="J476" s="5">
        <f>VLOOKUP(A476,DAY_8[],11,0)</f>
        <v>1.3</v>
      </c>
    </row>
    <row r="477" spans="1:10" x14ac:dyDescent="0.25">
      <c r="A477" s="2" t="s">
        <v>972</v>
      </c>
      <c r="B477" s="2" t="str">
        <f>VLOOKUP(A477,DAY_8[],2,0)</f>
        <v>FL250476</v>
      </c>
      <c r="C477" t="str">
        <f>VLOOKUP(A477,DAY_8[],3,0)</f>
        <v>MALE</v>
      </c>
      <c r="D477">
        <f>VLOOKUP(A477,DAY_8[],4,0)</f>
        <v>31</v>
      </c>
      <c r="E477" t="str">
        <f>VLOOKUP(A477,DAY_8[],5,0)</f>
        <v>INDONESIA</v>
      </c>
      <c r="F477" s="5" t="str">
        <f>VLOOKUP(A477,DAY_8[],6,0)</f>
        <v>INDONESIAN</v>
      </c>
      <c r="G477" s="5" t="str">
        <f>VLOOKUP(A477,DAY_8[],7,0)</f>
        <v>CYBERSECURITY</v>
      </c>
      <c r="H477" s="5">
        <f>VLOOKUP(A477,DAY_8[],8,0)</f>
        <v>11</v>
      </c>
      <c r="I477" s="5">
        <f>VLOOKUP(A477,DAY_8[],10,0)</f>
        <v>50</v>
      </c>
      <c r="J477" s="5">
        <f>VLOOKUP(A477,DAY_8[],11,0)</f>
        <v>4.3</v>
      </c>
    </row>
    <row r="478" spans="1:10" x14ac:dyDescent="0.25">
      <c r="A478" s="2" t="s">
        <v>974</v>
      </c>
      <c r="B478" s="2" t="str">
        <f>VLOOKUP(A478,DAY_8[],2,0)</f>
        <v>FL250477</v>
      </c>
      <c r="C478" t="str">
        <f>VLOOKUP(A478,DAY_8[],3,0)</f>
        <v>MALE</v>
      </c>
      <c r="D478">
        <f>VLOOKUP(A478,DAY_8[],4,0)</f>
        <v>52</v>
      </c>
      <c r="E478" t="str">
        <f>VLOOKUP(A478,DAY_8[],5,0)</f>
        <v>SPAIN</v>
      </c>
      <c r="F478" s="5" t="str">
        <f>VLOOKUP(A478,DAY_8[],6,0)</f>
        <v>SPANISH</v>
      </c>
      <c r="G478" s="5" t="str">
        <f>VLOOKUP(A478,DAY_8[],7,0)</f>
        <v>CYBERSECURITY</v>
      </c>
      <c r="H478" s="5">
        <f>VLOOKUP(A478,DAY_8[],8,0)</f>
        <v>31</v>
      </c>
      <c r="I478" s="5">
        <f>VLOOKUP(A478,DAY_8[],10,0)</f>
        <v>30</v>
      </c>
      <c r="J478" s="5">
        <f>VLOOKUP(A478,DAY_8[],11,0)</f>
        <v>2.4</v>
      </c>
    </row>
    <row r="479" spans="1:10" x14ac:dyDescent="0.25">
      <c r="A479" s="2" t="s">
        <v>976</v>
      </c>
      <c r="B479" s="2" t="str">
        <f>VLOOKUP(A479,DAY_8[],2,0)</f>
        <v>FL250478</v>
      </c>
      <c r="C479" t="str">
        <f>VLOOKUP(A479,DAY_8[],3,0)</f>
        <v>MALE</v>
      </c>
      <c r="D479">
        <f>VLOOKUP(A479,DAY_8[],4,0)</f>
        <v>56</v>
      </c>
      <c r="E479" t="str">
        <f>VLOOKUP(A479,DAY_8[],5,0)</f>
        <v>NETHERLANDS</v>
      </c>
      <c r="F479" s="5" t="str">
        <f>VLOOKUP(A479,DAY_8[],6,0)</f>
        <v>DUTCH</v>
      </c>
      <c r="G479" s="5" t="str">
        <f>VLOOKUP(A479,DAY_8[],7,0)</f>
        <v>DEVOPS</v>
      </c>
      <c r="H479" s="5">
        <f>VLOOKUP(A479,DAY_8[],8,0)</f>
        <v>16</v>
      </c>
      <c r="I479" s="5">
        <f>VLOOKUP(A479,DAY_8[],10,0)</f>
        <v>30</v>
      </c>
      <c r="J479" s="5">
        <f>VLOOKUP(A479,DAY_8[],11,0)</f>
        <v>0</v>
      </c>
    </row>
    <row r="480" spans="1:10" x14ac:dyDescent="0.25">
      <c r="A480" s="2" t="s">
        <v>978</v>
      </c>
      <c r="B480" s="2" t="str">
        <f>VLOOKUP(A480,DAY_8[],2,0)</f>
        <v>FL250479</v>
      </c>
      <c r="C480" t="str">
        <f>VLOOKUP(A480,DAY_8[],3,0)</f>
        <v>FEMALE</v>
      </c>
      <c r="D480">
        <f>VLOOKUP(A480,DAY_8[],4,0)</f>
        <v>24</v>
      </c>
      <c r="E480" t="str">
        <f>VLOOKUP(A480,DAY_8[],5,0)</f>
        <v>NETHERLANDS</v>
      </c>
      <c r="F480" s="5" t="str">
        <f>VLOOKUP(A480,DAY_8[],6,0)</f>
        <v>DUTCH</v>
      </c>
      <c r="G480" s="5" t="str">
        <f>VLOOKUP(A480,DAY_8[],7,0)</f>
        <v>DEVOPS</v>
      </c>
      <c r="H480" s="5">
        <f>VLOOKUP(A480,DAY_8[],8,0)</f>
        <v>6</v>
      </c>
      <c r="I480" s="5">
        <f>VLOOKUP(A480,DAY_8[],10,0)</f>
        <v>30</v>
      </c>
      <c r="J480" s="5">
        <f>VLOOKUP(A480,DAY_8[],11,0)</f>
        <v>0</v>
      </c>
    </row>
    <row r="481" spans="1:10" x14ac:dyDescent="0.25">
      <c r="A481" s="2" t="s">
        <v>980</v>
      </c>
      <c r="B481" s="2" t="str">
        <f>VLOOKUP(A481,DAY_8[],2,0)</f>
        <v>FL250480</v>
      </c>
      <c r="C481" t="str">
        <f>VLOOKUP(A481,DAY_8[],3,0)</f>
        <v>MALE</v>
      </c>
      <c r="D481">
        <f>VLOOKUP(A481,DAY_8[],4,0)</f>
        <v>48</v>
      </c>
      <c r="E481" t="str">
        <f>VLOOKUP(A481,DAY_8[],5,0)</f>
        <v>CANADA</v>
      </c>
      <c r="F481" s="5" t="str">
        <f>VLOOKUP(A481,DAY_8[],6,0)</f>
        <v>ENGLISH</v>
      </c>
      <c r="G481" s="5" t="str">
        <f>VLOOKUP(A481,DAY_8[],7,0)</f>
        <v>DEVOPS</v>
      </c>
      <c r="H481" s="5">
        <f>VLOOKUP(A481,DAY_8[],8,0)</f>
        <v>21</v>
      </c>
      <c r="I481" s="5">
        <f>VLOOKUP(A481,DAY_8[],10,0)</f>
        <v>75</v>
      </c>
      <c r="J481" s="5">
        <f>VLOOKUP(A481,DAY_8[],11,0)</f>
        <v>2.7</v>
      </c>
    </row>
    <row r="482" spans="1:10" x14ac:dyDescent="0.25">
      <c r="A482" s="2" t="s">
        <v>982</v>
      </c>
      <c r="B482" s="2" t="str">
        <f>VLOOKUP(A482,DAY_8[],2,0)</f>
        <v>FL250481</v>
      </c>
      <c r="C482" t="str">
        <f>VLOOKUP(A482,DAY_8[],3,0)</f>
        <v>MALE</v>
      </c>
      <c r="D482">
        <f>VLOOKUP(A482,DAY_8[],4,0)</f>
        <v>59</v>
      </c>
      <c r="E482" t="str">
        <f>VLOOKUP(A482,DAY_8[],5,0)</f>
        <v>FRANCE</v>
      </c>
      <c r="F482" s="5" t="str">
        <f>VLOOKUP(A482,DAY_8[],6,0)</f>
        <v>FRENCH</v>
      </c>
      <c r="G482" s="5" t="str">
        <f>VLOOKUP(A482,DAY_8[],7,0)</f>
        <v>CYBERSECURITY</v>
      </c>
      <c r="H482" s="5">
        <f>VLOOKUP(A482,DAY_8[],8,0)</f>
        <v>13</v>
      </c>
      <c r="I482" s="5">
        <f>VLOOKUP(A482,DAY_8[],10,0)</f>
        <v>40</v>
      </c>
      <c r="J482" s="5">
        <f>VLOOKUP(A482,DAY_8[],11,0)</f>
        <v>2.4</v>
      </c>
    </row>
    <row r="483" spans="1:10" x14ac:dyDescent="0.25">
      <c r="A483" s="2" t="s">
        <v>984</v>
      </c>
      <c r="B483" s="2" t="str">
        <f>VLOOKUP(A483,DAY_8[],2,0)</f>
        <v>FL250482</v>
      </c>
      <c r="C483" t="str">
        <f>VLOOKUP(A483,DAY_8[],3,0)</f>
        <v>MALE</v>
      </c>
      <c r="D483">
        <f>VLOOKUP(A483,DAY_8[],4,0)</f>
        <v>41</v>
      </c>
      <c r="E483" t="str">
        <f>VLOOKUP(A483,DAY_8[],5,0)</f>
        <v>UK</v>
      </c>
      <c r="F483" s="5" t="str">
        <f>VLOOKUP(A483,DAY_8[],6,0)</f>
        <v>ENGLISH</v>
      </c>
      <c r="G483" s="5" t="str">
        <f>VLOOKUP(A483,DAY_8[],7,0)</f>
        <v>WEB DEVELOPMENT</v>
      </c>
      <c r="H483" s="5">
        <f>VLOOKUP(A483,DAY_8[],8,0)</f>
        <v>10</v>
      </c>
      <c r="I483" s="5">
        <f>VLOOKUP(A483,DAY_8[],10,0)</f>
        <v>40</v>
      </c>
      <c r="J483" s="5">
        <f>VLOOKUP(A483,DAY_8[],11,0)</f>
        <v>1.9</v>
      </c>
    </row>
    <row r="484" spans="1:10" x14ac:dyDescent="0.25">
      <c r="A484" s="2" t="s">
        <v>986</v>
      </c>
      <c r="B484" s="2" t="str">
        <f>VLOOKUP(A484,DAY_8[],2,0)</f>
        <v>FL250483</v>
      </c>
      <c r="C484" t="str">
        <f>VLOOKUP(A484,DAY_8[],3,0)</f>
        <v>FEMALE</v>
      </c>
      <c r="D484">
        <f>VLOOKUP(A484,DAY_8[],4,0)</f>
        <v>41</v>
      </c>
      <c r="E484" t="str">
        <f>VLOOKUP(A484,DAY_8[],5,0)</f>
        <v>NETHERLANDS</v>
      </c>
      <c r="F484" s="5" t="str">
        <f>VLOOKUP(A484,DAY_8[],6,0)</f>
        <v>DUTCH</v>
      </c>
      <c r="G484" s="5" t="str">
        <f>VLOOKUP(A484,DAY_8[],7,0)</f>
        <v>MOBILE APPS</v>
      </c>
      <c r="H484" s="5">
        <f>VLOOKUP(A484,DAY_8[],8,0)</f>
        <v>11</v>
      </c>
      <c r="I484" s="5">
        <f>VLOOKUP(A484,DAY_8[],10,0)</f>
        <v>20</v>
      </c>
      <c r="J484" s="5">
        <f>VLOOKUP(A484,DAY_8[],11,0)</f>
        <v>3.6</v>
      </c>
    </row>
    <row r="485" spans="1:10" x14ac:dyDescent="0.25">
      <c r="A485" s="2" t="s">
        <v>988</v>
      </c>
      <c r="B485" s="2" t="str">
        <f>VLOOKUP(A485,DAY_8[],2,0)</f>
        <v>FL250484</v>
      </c>
      <c r="C485" t="str">
        <f>VLOOKUP(A485,DAY_8[],3,0)</f>
        <v>MALE</v>
      </c>
      <c r="D485">
        <f>VLOOKUP(A485,DAY_8[],4,0)</f>
        <v>25</v>
      </c>
      <c r="E485" t="str">
        <f>VLOOKUP(A485,DAY_8[],5,0)</f>
        <v>NETHERLANDS</v>
      </c>
      <c r="F485" s="5" t="str">
        <f>VLOOKUP(A485,DAY_8[],6,0)</f>
        <v>DUTCH</v>
      </c>
      <c r="G485" s="5" t="str">
        <f>VLOOKUP(A485,DAY_8[],7,0)</f>
        <v>MOBILE APPS</v>
      </c>
      <c r="H485" s="5">
        <f>VLOOKUP(A485,DAY_8[],8,0)</f>
        <v>0</v>
      </c>
      <c r="I485" s="5">
        <f>VLOOKUP(A485,DAY_8[],10,0)</f>
        <v>50</v>
      </c>
      <c r="J485" s="5">
        <f>VLOOKUP(A485,DAY_8[],11,0)</f>
        <v>2.9</v>
      </c>
    </row>
    <row r="486" spans="1:10" x14ac:dyDescent="0.25">
      <c r="A486" s="2" t="s">
        <v>990</v>
      </c>
      <c r="B486" s="2" t="str">
        <f>VLOOKUP(A486,DAY_8[],2,0)</f>
        <v>FL250485</v>
      </c>
      <c r="C486" t="str">
        <f>VLOOKUP(A486,DAY_8[],3,0)</f>
        <v>MALE</v>
      </c>
      <c r="D486">
        <f>VLOOKUP(A486,DAY_8[],4,0)</f>
        <v>31</v>
      </c>
      <c r="E486" t="str">
        <f>VLOOKUP(A486,DAY_8[],5,0)</f>
        <v>EGYPT</v>
      </c>
      <c r="F486" s="5" t="str">
        <f>VLOOKUP(A486,DAY_8[],6,0)</f>
        <v>ARABIC</v>
      </c>
      <c r="G486" s="5" t="str">
        <f>VLOOKUP(A486,DAY_8[],7,0)</f>
        <v>MOBILE APPS</v>
      </c>
      <c r="H486" s="5">
        <f>VLOOKUP(A486,DAY_8[],8,0)</f>
        <v>2</v>
      </c>
      <c r="I486" s="5">
        <f>VLOOKUP(A486,DAY_8[],10,0)</f>
        <v>75</v>
      </c>
      <c r="J486" s="5">
        <f>VLOOKUP(A486,DAY_8[],11,0)</f>
        <v>2.8</v>
      </c>
    </row>
    <row r="487" spans="1:10" x14ac:dyDescent="0.25">
      <c r="A487" s="2" t="s">
        <v>992</v>
      </c>
      <c r="B487" s="2" t="str">
        <f>VLOOKUP(A487,DAY_8[],2,0)</f>
        <v>FL250486</v>
      </c>
      <c r="C487" t="str">
        <f>VLOOKUP(A487,DAY_8[],3,0)</f>
        <v>MALE</v>
      </c>
      <c r="D487">
        <f>VLOOKUP(A487,DAY_8[],4,0)</f>
        <v>40</v>
      </c>
      <c r="E487" t="str">
        <f>VLOOKUP(A487,DAY_8[],5,0)</f>
        <v>TURKEY</v>
      </c>
      <c r="F487" s="5" t="str">
        <f>VLOOKUP(A487,DAY_8[],6,0)</f>
        <v>TURKISH</v>
      </c>
      <c r="G487" s="5" t="str">
        <f>VLOOKUP(A487,DAY_8[],7,0)</f>
        <v>DEVOPS</v>
      </c>
      <c r="H487" s="5">
        <f>VLOOKUP(A487,DAY_8[],8,0)</f>
        <v>12</v>
      </c>
      <c r="I487" s="5">
        <f>VLOOKUP(A487,DAY_8[],10,0)</f>
        <v>75</v>
      </c>
      <c r="J487" s="5">
        <f>VLOOKUP(A487,DAY_8[],11,0)</f>
        <v>2.6</v>
      </c>
    </row>
    <row r="488" spans="1:10" x14ac:dyDescent="0.25">
      <c r="A488" s="2" t="s">
        <v>618</v>
      </c>
      <c r="B488" s="2" t="str">
        <f>VLOOKUP(A488,DAY_8[],2,0)</f>
        <v>FL250296</v>
      </c>
      <c r="C488" t="str">
        <f>VLOOKUP(A488,DAY_8[],3,0)</f>
        <v>FEMALE</v>
      </c>
      <c r="D488">
        <f>VLOOKUP(A488,DAY_8[],4,0)</f>
        <v>56</v>
      </c>
      <c r="E488" t="str">
        <f>VLOOKUP(A488,DAY_8[],5,0)</f>
        <v>UK</v>
      </c>
      <c r="F488" s="5" t="str">
        <f>VLOOKUP(A488,DAY_8[],6,0)</f>
        <v>ENGLISH</v>
      </c>
      <c r="G488" s="5" t="str">
        <f>VLOOKUP(A488,DAY_8[],7,0)</f>
        <v>DEVOPS</v>
      </c>
      <c r="H488" s="5">
        <f>VLOOKUP(A488,DAY_8[],8,0)</f>
        <v>34</v>
      </c>
      <c r="I488" s="5">
        <f>VLOOKUP(A488,DAY_8[],10,0)</f>
        <v>70</v>
      </c>
      <c r="J488" s="5">
        <f>VLOOKUP(A488,DAY_8[],11,0)</f>
        <v>2.1</v>
      </c>
    </row>
    <row r="489" spans="1:10" x14ac:dyDescent="0.25">
      <c r="A489" s="2" t="s">
        <v>995</v>
      </c>
      <c r="B489" s="2" t="str">
        <f>VLOOKUP(A489,DAY_8[],2,0)</f>
        <v>FL250488</v>
      </c>
      <c r="C489" t="str">
        <f>VLOOKUP(A489,DAY_8[],3,0)</f>
        <v>FEMALE</v>
      </c>
      <c r="D489">
        <f>VLOOKUP(A489,DAY_8[],4,0)</f>
        <v>24</v>
      </c>
      <c r="E489" t="str">
        <f>VLOOKUP(A489,DAY_8[],5,0)</f>
        <v>SOUTH AFRICA</v>
      </c>
      <c r="F489" s="5" t="str">
        <f>VLOOKUP(A489,DAY_8[],6,0)</f>
        <v>AFRIKAANS</v>
      </c>
      <c r="G489" s="5" t="str">
        <f>VLOOKUP(A489,DAY_8[],7,0)</f>
        <v>MOBILE APPS</v>
      </c>
      <c r="H489" s="5">
        <f>VLOOKUP(A489,DAY_8[],8,0)</f>
        <v>6</v>
      </c>
      <c r="I489" s="5">
        <f>VLOOKUP(A489,DAY_8[],10,0)</f>
        <v>30</v>
      </c>
      <c r="J489" s="5">
        <f>VLOOKUP(A489,DAY_8[],11,0)</f>
        <v>1.1000000000000001</v>
      </c>
    </row>
    <row r="490" spans="1:10" x14ac:dyDescent="0.25">
      <c r="A490" s="2" t="s">
        <v>997</v>
      </c>
      <c r="B490" s="2" t="str">
        <f>VLOOKUP(A490,DAY_8[],2,0)</f>
        <v>FL250489</v>
      </c>
      <c r="C490" t="str">
        <f>VLOOKUP(A490,DAY_8[],3,0)</f>
        <v>MALE</v>
      </c>
      <c r="D490">
        <f>VLOOKUP(A490,DAY_8[],4,0)</f>
        <v>33</v>
      </c>
      <c r="E490" t="str">
        <f>VLOOKUP(A490,DAY_8[],5,0)</f>
        <v>INDONESIA</v>
      </c>
      <c r="F490" s="5" t="str">
        <f>VLOOKUP(A490,DAY_8[],6,0)</f>
        <v>INDONESIAN</v>
      </c>
      <c r="G490" s="5" t="str">
        <f>VLOOKUP(A490,DAY_8[],7,0)</f>
        <v>WEB DEVELOPMENT</v>
      </c>
      <c r="H490" s="5">
        <f>VLOOKUP(A490,DAY_8[],8,0)</f>
        <v>10</v>
      </c>
      <c r="I490" s="5">
        <f>VLOOKUP(A490,DAY_8[],10,0)</f>
        <v>30</v>
      </c>
      <c r="J490" s="5">
        <f>VLOOKUP(A490,DAY_8[],11,0)</f>
        <v>0</v>
      </c>
    </row>
    <row r="491" spans="1:10" x14ac:dyDescent="0.25">
      <c r="A491" s="2" t="s">
        <v>999</v>
      </c>
      <c r="B491" s="2" t="str">
        <f>VLOOKUP(A491,DAY_8[],2,0)</f>
        <v>FL250490</v>
      </c>
      <c r="C491" t="str">
        <f>VLOOKUP(A491,DAY_8[],3,0)</f>
        <v>FEMALE</v>
      </c>
      <c r="D491">
        <f>VLOOKUP(A491,DAY_8[],4,0)</f>
        <v>43</v>
      </c>
      <c r="E491" t="str">
        <f>VLOOKUP(A491,DAY_8[],5,0)</f>
        <v>BRAZIL</v>
      </c>
      <c r="F491" s="5" t="str">
        <f>VLOOKUP(A491,DAY_8[],6,0)</f>
        <v>PORTUGUESE</v>
      </c>
      <c r="G491" s="5" t="str">
        <f>VLOOKUP(A491,DAY_8[],7,0)</f>
        <v>UI/UX DESIGN</v>
      </c>
      <c r="H491" s="5">
        <f>VLOOKUP(A491,DAY_8[],8,0)</f>
        <v>2</v>
      </c>
      <c r="I491" s="5">
        <f>VLOOKUP(A491,DAY_8[],10,0)</f>
        <v>40</v>
      </c>
      <c r="J491" s="5">
        <f>VLOOKUP(A491,DAY_8[],11,0)</f>
        <v>0</v>
      </c>
    </row>
    <row r="492" spans="1:10" x14ac:dyDescent="0.25">
      <c r="A492" s="2" t="s">
        <v>1001</v>
      </c>
      <c r="B492" s="2" t="str">
        <f>VLOOKUP(A492,DAY_8[],2,0)</f>
        <v>FL250491</v>
      </c>
      <c r="C492" t="str">
        <f>VLOOKUP(A492,DAY_8[],3,0)</f>
        <v>MALE</v>
      </c>
      <c r="D492">
        <f>VLOOKUP(A492,DAY_8[],4,0)</f>
        <v>43</v>
      </c>
      <c r="E492" t="str">
        <f>VLOOKUP(A492,DAY_8[],5,0)</f>
        <v>SPAIN</v>
      </c>
      <c r="F492" s="5" t="str">
        <f>VLOOKUP(A492,DAY_8[],6,0)</f>
        <v>SPANISH</v>
      </c>
      <c r="G492" s="5" t="str">
        <f>VLOOKUP(A492,DAY_8[],7,0)</f>
        <v>BLOCKCHAIN DEVELOPMENT</v>
      </c>
      <c r="H492" s="5">
        <f>VLOOKUP(A492,DAY_8[],8,0)</f>
        <v>4</v>
      </c>
      <c r="I492" s="5">
        <f>VLOOKUP(A492,DAY_8[],10,0)</f>
        <v>50</v>
      </c>
      <c r="J492" s="5">
        <f>VLOOKUP(A492,DAY_8[],11,0)</f>
        <v>0</v>
      </c>
    </row>
    <row r="493" spans="1:10" x14ac:dyDescent="0.25">
      <c r="A493" s="2" t="s">
        <v>1003</v>
      </c>
      <c r="B493" s="2" t="str">
        <f>VLOOKUP(A493,DAY_8[],2,0)</f>
        <v>FL250492</v>
      </c>
      <c r="C493" t="str">
        <f>VLOOKUP(A493,DAY_8[],3,0)</f>
        <v>FEMALE</v>
      </c>
      <c r="D493">
        <f>VLOOKUP(A493,DAY_8[],4,0)</f>
        <v>33</v>
      </c>
      <c r="E493" t="str">
        <f>VLOOKUP(A493,DAY_8[],5,0)</f>
        <v>AUSTRALIA</v>
      </c>
      <c r="F493" s="5" t="str">
        <f>VLOOKUP(A493,DAY_8[],6,0)</f>
        <v>ENGLISH</v>
      </c>
      <c r="G493" s="5" t="str">
        <f>VLOOKUP(A493,DAY_8[],7,0)</f>
        <v>WEB DEVELOPMENT</v>
      </c>
      <c r="H493" s="5">
        <f>VLOOKUP(A493,DAY_8[],8,0)</f>
        <v>11</v>
      </c>
      <c r="I493" s="5">
        <f>VLOOKUP(A493,DAY_8[],10,0)</f>
        <v>70</v>
      </c>
      <c r="J493" s="5">
        <f>VLOOKUP(A493,DAY_8[],11,0)</f>
        <v>4.5999999999999996</v>
      </c>
    </row>
    <row r="494" spans="1:10" x14ac:dyDescent="0.25">
      <c r="A494" s="2" t="s">
        <v>1005</v>
      </c>
      <c r="B494" s="2" t="str">
        <f>VLOOKUP(A494,DAY_8[],2,0)</f>
        <v>FL250493</v>
      </c>
      <c r="C494" t="str">
        <f>VLOOKUP(A494,DAY_8[],3,0)</f>
        <v>FEMALE</v>
      </c>
      <c r="D494">
        <f>VLOOKUP(A494,DAY_8[],4,0)</f>
        <v>49</v>
      </c>
      <c r="E494" t="str">
        <f>VLOOKUP(A494,DAY_8[],5,0)</f>
        <v>RUSSIA</v>
      </c>
      <c r="F494" s="5" t="str">
        <f>VLOOKUP(A494,DAY_8[],6,0)</f>
        <v>RUSSIAN</v>
      </c>
      <c r="G494" s="5" t="str">
        <f>VLOOKUP(A494,DAY_8[],7,0)</f>
        <v>UI/UX DESIGN</v>
      </c>
      <c r="H494" s="5">
        <f>VLOOKUP(A494,DAY_8[],8,0)</f>
        <v>14</v>
      </c>
      <c r="I494" s="5">
        <f>VLOOKUP(A494,DAY_8[],10,0)</f>
        <v>40</v>
      </c>
      <c r="J494" s="5">
        <f>VLOOKUP(A494,DAY_8[],11,0)</f>
        <v>1.5</v>
      </c>
    </row>
    <row r="495" spans="1:10" x14ac:dyDescent="0.25">
      <c r="A495" s="2" t="s">
        <v>1007</v>
      </c>
      <c r="B495" s="2" t="str">
        <f>VLOOKUP(A495,DAY_8[],2,0)</f>
        <v>FL250494</v>
      </c>
      <c r="C495" t="str">
        <f>VLOOKUP(A495,DAY_8[],3,0)</f>
        <v>MALE</v>
      </c>
      <c r="D495">
        <f>VLOOKUP(A495,DAY_8[],4,0)</f>
        <v>55</v>
      </c>
      <c r="E495" t="str">
        <f>VLOOKUP(A495,DAY_8[],5,0)</f>
        <v>CANADA</v>
      </c>
      <c r="F495" s="5" t="str">
        <f>VLOOKUP(A495,DAY_8[],6,0)</f>
        <v>ENGLISH</v>
      </c>
      <c r="G495" s="5" t="str">
        <f>VLOOKUP(A495,DAY_8[],7,0)</f>
        <v>UI/UX DESIGN</v>
      </c>
      <c r="H495" s="5">
        <f>VLOOKUP(A495,DAY_8[],8,0)</f>
        <v>10</v>
      </c>
      <c r="I495" s="5">
        <f>VLOOKUP(A495,DAY_8[],10,0)</f>
        <v>40</v>
      </c>
      <c r="J495" s="5">
        <f>VLOOKUP(A495,DAY_8[],11,0)</f>
        <v>2</v>
      </c>
    </row>
    <row r="496" spans="1:10" x14ac:dyDescent="0.25">
      <c r="A496" s="2" t="s">
        <v>1009</v>
      </c>
      <c r="B496" s="2" t="str">
        <f>VLOOKUP(A496,DAY_8[],2,0)</f>
        <v>FL250495</v>
      </c>
      <c r="C496" t="str">
        <f>VLOOKUP(A496,DAY_8[],3,0)</f>
        <v>FEMALE</v>
      </c>
      <c r="D496">
        <f>VLOOKUP(A496,DAY_8[],4,0)</f>
        <v>33</v>
      </c>
      <c r="E496" t="str">
        <f>VLOOKUP(A496,DAY_8[],5,0)</f>
        <v>SOUTH KOREA</v>
      </c>
      <c r="F496" s="5" t="str">
        <f>VLOOKUP(A496,DAY_8[],6,0)</f>
        <v>KOREAN</v>
      </c>
      <c r="G496" s="5" t="str">
        <f>VLOOKUP(A496,DAY_8[],7,0)</f>
        <v>GRAPHIC DESIGN</v>
      </c>
      <c r="H496" s="5">
        <f>VLOOKUP(A496,DAY_8[],8,0)</f>
        <v>3</v>
      </c>
      <c r="I496" s="5">
        <f>VLOOKUP(A496,DAY_8[],10,0)</f>
        <v>40</v>
      </c>
      <c r="J496" s="5">
        <f>VLOOKUP(A496,DAY_8[],11,0)</f>
        <v>1.6</v>
      </c>
    </row>
    <row r="497" spans="1:10" x14ac:dyDescent="0.25">
      <c r="A497" s="2" t="s">
        <v>1011</v>
      </c>
      <c r="B497" s="2" t="str">
        <f>VLOOKUP(A497,DAY_8[],2,0)</f>
        <v>FL250496</v>
      </c>
      <c r="C497" t="str">
        <f>VLOOKUP(A497,DAY_8[],3,0)</f>
        <v>MALE</v>
      </c>
      <c r="D497">
        <f>VLOOKUP(A497,DAY_8[],4,0)</f>
        <v>32</v>
      </c>
      <c r="E497" t="str">
        <f>VLOOKUP(A497,DAY_8[],5,0)</f>
        <v>ARGENTINA</v>
      </c>
      <c r="F497" s="5" t="str">
        <f>VLOOKUP(A497,DAY_8[],6,0)</f>
        <v>SPANISH</v>
      </c>
      <c r="G497" s="5" t="str">
        <f>VLOOKUP(A497,DAY_8[],7,0)</f>
        <v>AI</v>
      </c>
      <c r="H497" s="5">
        <f>VLOOKUP(A497,DAY_8[],8,0)</f>
        <v>3</v>
      </c>
      <c r="I497" s="5">
        <f>VLOOKUP(A497,DAY_8[],10,0)</f>
        <v>30</v>
      </c>
      <c r="J497" s="5">
        <f>VLOOKUP(A497,DAY_8[],11,0)</f>
        <v>1.5</v>
      </c>
    </row>
    <row r="498" spans="1:10" x14ac:dyDescent="0.25">
      <c r="A498" s="2" t="s">
        <v>1013</v>
      </c>
      <c r="B498" s="2" t="str">
        <f>VLOOKUP(A498,DAY_8[],2,0)</f>
        <v>FL250497</v>
      </c>
      <c r="C498" t="str">
        <f>VLOOKUP(A498,DAY_8[],3,0)</f>
        <v>MALE</v>
      </c>
      <c r="D498">
        <f>VLOOKUP(A498,DAY_8[],4,0)</f>
        <v>58</v>
      </c>
      <c r="E498" t="str">
        <f>VLOOKUP(A498,DAY_8[],5,0)</f>
        <v>NETHERLANDS</v>
      </c>
      <c r="F498" s="5" t="str">
        <f>VLOOKUP(A498,DAY_8[],6,0)</f>
        <v>DUTCH</v>
      </c>
      <c r="G498" s="5" t="str">
        <f>VLOOKUP(A498,DAY_8[],7,0)</f>
        <v>BLOCKCHAIN DEVELOPMENT</v>
      </c>
      <c r="H498" s="5">
        <f>VLOOKUP(A498,DAY_8[],8,0)</f>
        <v>33</v>
      </c>
      <c r="I498" s="5">
        <f>VLOOKUP(A498,DAY_8[],10,0)</f>
        <v>70</v>
      </c>
      <c r="J498" s="5">
        <f>VLOOKUP(A498,DAY_8[],11,0)</f>
        <v>4.0999999999999996</v>
      </c>
    </row>
    <row r="499" spans="1:10" x14ac:dyDescent="0.25">
      <c r="A499" s="2" t="s">
        <v>1076</v>
      </c>
      <c r="B499" s="2" t="str">
        <f>VLOOKUP(A499,DAY_8[],2,0)</f>
        <v>FL250498</v>
      </c>
      <c r="C499" t="str">
        <f>VLOOKUP(A499,DAY_8[],3,0)</f>
        <v>MALE</v>
      </c>
      <c r="D499">
        <f>VLOOKUP(A499,DAY_8[],4,0)</f>
        <v>49</v>
      </c>
      <c r="E499" t="str">
        <f>VLOOKUP(A499,DAY_8[],5,0)</f>
        <v>INDONESIA</v>
      </c>
      <c r="F499" s="5" t="str">
        <f>VLOOKUP(A499,DAY_8[],6,0)</f>
        <v>INDONESIAN</v>
      </c>
      <c r="G499" s="5" t="str">
        <f>VLOOKUP(A499,DAY_8[],7,0)</f>
        <v>DATA ANALYSIS</v>
      </c>
      <c r="H499" s="5">
        <f>VLOOKUP(A499,DAY_8[],8,0)</f>
        <v>24</v>
      </c>
      <c r="I499" s="5">
        <f>VLOOKUP(A499,DAY_8[],10,0)</f>
        <v>100</v>
      </c>
      <c r="J499" s="5">
        <f>VLOOKUP(A499,DAY_8[],11,0)</f>
        <v>4.7</v>
      </c>
    </row>
    <row r="500" spans="1:10" x14ac:dyDescent="0.25">
      <c r="A500" s="4" t="s">
        <v>1016</v>
      </c>
      <c r="B500" s="4" t="str">
        <f>VLOOKUP(A500,DAY_8[],2,0)</f>
        <v>FL250499</v>
      </c>
      <c r="C500" t="str">
        <f>VLOOKUP(A500,DAY_8[],3,0)</f>
        <v>FEMALE</v>
      </c>
      <c r="D500">
        <f>VLOOKUP(A500,DAY_8[],4,0)</f>
        <v>22</v>
      </c>
      <c r="E500" t="str">
        <f>VLOOKUP(A500,DAY_8[],5,0)</f>
        <v>RUSSIA</v>
      </c>
      <c r="F500" s="5" t="str">
        <f>VLOOKUP(A500,DAY_8[],6,0)</f>
        <v>RUSSIAN</v>
      </c>
      <c r="G500" s="5" t="str">
        <f>VLOOKUP(A500,DAY_8[],7,0)</f>
        <v>UI/UX DESIGN</v>
      </c>
      <c r="H500" s="5">
        <f>VLOOKUP(A500,DAY_8[],8,0)</f>
        <v>3</v>
      </c>
      <c r="I500" s="5">
        <f>VLOOKUP(A500,DAY_8[],10,0)</f>
        <v>100</v>
      </c>
      <c r="J500" s="5">
        <f>VLOOKUP(A500,DAY_8[],11,0)</f>
        <v>3.6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2323F1-6F80-4FDD-A12D-DC03D7A4D5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VKLP!</vt:lpstr>
      <vt:lpstr>VKLP final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D</dc:creator>
  <cp:lastModifiedBy>Ryan D</cp:lastModifiedBy>
  <dcterms:created xsi:type="dcterms:W3CDTF">2026-06-18T13:56:05Z</dcterms:created>
  <dcterms:modified xsi:type="dcterms:W3CDTF">2026-06-30T04:43:12Z</dcterms:modified>
</cp:coreProperties>
</file>