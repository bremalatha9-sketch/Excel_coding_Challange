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r\Downloads\"/>
    </mc:Choice>
  </mc:AlternateContent>
  <xr:revisionPtr revIDLastSave="0" documentId="8_{499432A2-507C-4729-BA9C-F3961C4287C1}" xr6:coauthVersionLast="47" xr6:coauthVersionMax="47" xr10:uidLastSave="{00000000-0000-0000-0000-000000000000}"/>
  <bookViews>
    <workbookView xWindow="1170" yWindow="1170" windowWidth="24165" windowHeight="14490" firstSheet="1" activeTab="1" xr2:uid="{7880B881-8844-4951-AA61-C3AC5D86F137}"/>
  </bookViews>
  <sheets>
    <sheet name="FREELANCER_1" sheetId="8" r:id="rId1"/>
    <sheet name="DAY_8" sheetId="14" r:id="rId2"/>
    <sheet name="OBSERVATIONS SHEET" sheetId="15" r:id="rId3"/>
  </sheets>
  <definedNames>
    <definedName name="ExternalData_2" localSheetId="0" hidden="1">FREELANCER_1!$A:$R</definedName>
    <definedName name="ExternalData_3" localSheetId="1" hidden="1">DAY_8!$A$1:$T$502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4" l="1"/>
  <c r="K3" i="14"/>
  <c r="K4" i="14"/>
  <c r="K5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1" i="14"/>
  <c r="K102" i="14"/>
  <c r="K103" i="14"/>
  <c r="K104" i="14"/>
  <c r="K105" i="14"/>
  <c r="K106" i="14"/>
  <c r="K107" i="14"/>
  <c r="K108" i="14"/>
  <c r="K109" i="14"/>
  <c r="K110" i="14"/>
  <c r="K111" i="14"/>
  <c r="K112" i="14"/>
  <c r="K113" i="14"/>
  <c r="K114" i="14"/>
  <c r="K115" i="14"/>
  <c r="K116" i="14"/>
  <c r="K117" i="14"/>
  <c r="K118" i="14"/>
  <c r="K119" i="14"/>
  <c r="K120" i="14"/>
  <c r="K121" i="14"/>
  <c r="K122" i="14"/>
  <c r="K123" i="14"/>
  <c r="K124" i="14"/>
  <c r="K125" i="14"/>
  <c r="K126" i="14"/>
  <c r="K127" i="14"/>
  <c r="K128" i="14"/>
  <c r="K129" i="14"/>
  <c r="K130" i="14"/>
  <c r="K131" i="14"/>
  <c r="K132" i="14"/>
  <c r="K133" i="14"/>
  <c r="K134" i="14"/>
  <c r="K135" i="14"/>
  <c r="K136" i="14"/>
  <c r="K137" i="14"/>
  <c r="K138" i="14"/>
  <c r="K139" i="14"/>
  <c r="K140" i="14"/>
  <c r="K141" i="14"/>
  <c r="K142" i="14"/>
  <c r="K143" i="14"/>
  <c r="K144" i="14"/>
  <c r="K145" i="14"/>
  <c r="K146" i="14"/>
  <c r="K147" i="14"/>
  <c r="K148" i="14"/>
  <c r="K149" i="14"/>
  <c r="K150" i="14"/>
  <c r="K151" i="14"/>
  <c r="K152" i="14"/>
  <c r="K153" i="14"/>
  <c r="K154" i="14"/>
  <c r="K155" i="14"/>
  <c r="K156" i="14"/>
  <c r="K157" i="14"/>
  <c r="K158" i="14"/>
  <c r="K159" i="14"/>
  <c r="K160" i="14"/>
  <c r="K161" i="14"/>
  <c r="K162" i="14"/>
  <c r="K163" i="14"/>
  <c r="K164" i="14"/>
  <c r="K165" i="14"/>
  <c r="K166" i="14"/>
  <c r="K167" i="14"/>
  <c r="K168" i="14"/>
  <c r="K169" i="14"/>
  <c r="K170" i="14"/>
  <c r="K171" i="14"/>
  <c r="K172" i="14"/>
  <c r="K173" i="14"/>
  <c r="K174" i="14"/>
  <c r="K175" i="14"/>
  <c r="K176" i="14"/>
  <c r="K177" i="14"/>
  <c r="K178" i="14"/>
  <c r="K179" i="14"/>
  <c r="K180" i="14"/>
  <c r="K181" i="14"/>
  <c r="K182" i="14"/>
  <c r="K183" i="14"/>
  <c r="K184" i="14"/>
  <c r="K185" i="14"/>
  <c r="K186" i="14"/>
  <c r="K187" i="14"/>
  <c r="K188" i="14"/>
  <c r="K189" i="14"/>
  <c r="K190" i="14"/>
  <c r="K191" i="14"/>
  <c r="K192" i="14"/>
  <c r="K193" i="14"/>
  <c r="K194" i="14"/>
  <c r="K195" i="14"/>
  <c r="K196" i="14"/>
  <c r="K197" i="14"/>
  <c r="K198" i="14"/>
  <c r="K199" i="14"/>
  <c r="K200" i="14"/>
  <c r="K201" i="14"/>
  <c r="K202" i="14"/>
  <c r="K203" i="14"/>
  <c r="K204" i="14"/>
  <c r="K205" i="14"/>
  <c r="K206" i="14"/>
  <c r="K207" i="14"/>
  <c r="K208" i="14"/>
  <c r="K209" i="14"/>
  <c r="K210" i="14"/>
  <c r="K211" i="14"/>
  <c r="K212" i="14"/>
  <c r="K213" i="14"/>
  <c r="K214" i="14"/>
  <c r="K215" i="14"/>
  <c r="K216" i="14"/>
  <c r="K217" i="14"/>
  <c r="K218" i="14"/>
  <c r="K219" i="14"/>
  <c r="K220" i="14"/>
  <c r="K221" i="14"/>
  <c r="K222" i="14"/>
  <c r="K223" i="14"/>
  <c r="K224" i="14"/>
  <c r="K225" i="14"/>
  <c r="K226" i="14"/>
  <c r="K227" i="14"/>
  <c r="K228" i="14"/>
  <c r="K229" i="14"/>
  <c r="K230" i="14"/>
  <c r="K231" i="14"/>
  <c r="K232" i="14"/>
  <c r="K233" i="14"/>
  <c r="K234" i="14"/>
  <c r="K235" i="14"/>
  <c r="K236" i="14"/>
  <c r="K237" i="14"/>
  <c r="K238" i="14"/>
  <c r="K239" i="14"/>
  <c r="K240" i="14"/>
  <c r="K241" i="14"/>
  <c r="K242" i="14"/>
  <c r="K243" i="14"/>
  <c r="K244" i="14"/>
  <c r="K245" i="14"/>
  <c r="K246" i="14"/>
  <c r="K247" i="14"/>
  <c r="K248" i="14"/>
  <c r="K249" i="14"/>
  <c r="K250" i="14"/>
  <c r="K251" i="14"/>
  <c r="K252" i="14"/>
  <c r="K253" i="14"/>
  <c r="K254" i="14"/>
  <c r="K255" i="14"/>
  <c r="K256" i="14"/>
  <c r="K257" i="14"/>
  <c r="K258" i="14"/>
  <c r="K259" i="14"/>
  <c r="K260" i="14"/>
  <c r="K261" i="14"/>
  <c r="K262" i="14"/>
  <c r="K263" i="14"/>
  <c r="K264" i="14"/>
  <c r="K265" i="14"/>
  <c r="K266" i="14"/>
  <c r="K267" i="14"/>
  <c r="K268" i="14"/>
  <c r="K269" i="14"/>
  <c r="K270" i="14"/>
  <c r="K271" i="14"/>
  <c r="K272" i="14"/>
  <c r="K273" i="14"/>
  <c r="K274" i="14"/>
  <c r="K275" i="14"/>
  <c r="K276" i="14"/>
  <c r="K277" i="14"/>
  <c r="K278" i="14"/>
  <c r="K279" i="14"/>
  <c r="K280" i="14"/>
  <c r="K281" i="14"/>
  <c r="K282" i="14"/>
  <c r="K283" i="14"/>
  <c r="K284" i="14"/>
  <c r="K285" i="14"/>
  <c r="K286" i="14"/>
  <c r="K287" i="14"/>
  <c r="K288" i="14"/>
  <c r="K289" i="14"/>
  <c r="K290" i="14"/>
  <c r="K291" i="14"/>
  <c r="K292" i="14"/>
  <c r="K293" i="14"/>
  <c r="K294" i="14"/>
  <c r="K295" i="14"/>
  <c r="K296" i="14"/>
  <c r="K297" i="14"/>
  <c r="K298" i="14"/>
  <c r="K299" i="14"/>
  <c r="K300" i="14"/>
  <c r="K301" i="14"/>
  <c r="K302" i="14"/>
  <c r="K303" i="14"/>
  <c r="K304" i="14"/>
  <c r="K305" i="14"/>
  <c r="K306" i="14"/>
  <c r="K307" i="14"/>
  <c r="K308" i="14"/>
  <c r="K309" i="14"/>
  <c r="K310" i="14"/>
  <c r="K311" i="14"/>
  <c r="K312" i="14"/>
  <c r="K313" i="14"/>
  <c r="K314" i="14"/>
  <c r="K315" i="14"/>
  <c r="K316" i="14"/>
  <c r="K317" i="14"/>
  <c r="K318" i="14"/>
  <c r="K319" i="14"/>
  <c r="K320" i="14"/>
  <c r="K321" i="14"/>
  <c r="K322" i="14"/>
  <c r="K323" i="14"/>
  <c r="K324" i="14"/>
  <c r="K325" i="14"/>
  <c r="K326" i="14"/>
  <c r="K327" i="14"/>
  <c r="K328" i="14"/>
  <c r="K329" i="14"/>
  <c r="K330" i="14"/>
  <c r="K331" i="14"/>
  <c r="K332" i="14"/>
  <c r="K333" i="14"/>
  <c r="K334" i="14"/>
  <c r="K335" i="14"/>
  <c r="K336" i="14"/>
  <c r="K337" i="14"/>
  <c r="K338" i="14"/>
  <c r="K339" i="14"/>
  <c r="K340" i="14"/>
  <c r="K341" i="14"/>
  <c r="K342" i="14"/>
  <c r="K343" i="14"/>
  <c r="K344" i="14"/>
  <c r="K345" i="14"/>
  <c r="K346" i="14"/>
  <c r="K347" i="14"/>
  <c r="K348" i="14"/>
  <c r="K349" i="14"/>
  <c r="K350" i="14"/>
  <c r="K351" i="14"/>
  <c r="K352" i="14"/>
  <c r="K353" i="14"/>
  <c r="K354" i="14"/>
  <c r="K355" i="14"/>
  <c r="K356" i="14"/>
  <c r="K357" i="14"/>
  <c r="K358" i="14"/>
  <c r="K359" i="14"/>
  <c r="K360" i="14"/>
  <c r="K361" i="14"/>
  <c r="K362" i="14"/>
  <c r="K363" i="14"/>
  <c r="K364" i="14"/>
  <c r="K365" i="14"/>
  <c r="K366" i="14"/>
  <c r="K367" i="14"/>
  <c r="K368" i="14"/>
  <c r="K369" i="14"/>
  <c r="K370" i="14"/>
  <c r="K371" i="14"/>
  <c r="K372" i="14"/>
  <c r="K373" i="14"/>
  <c r="K374" i="14"/>
  <c r="K375" i="14"/>
  <c r="K376" i="14"/>
  <c r="K377" i="14"/>
  <c r="K378" i="14"/>
  <c r="K379" i="14"/>
  <c r="K380" i="14"/>
  <c r="K381" i="14"/>
  <c r="K382" i="14"/>
  <c r="K383" i="14"/>
  <c r="K384" i="14"/>
  <c r="K385" i="14"/>
  <c r="K386" i="14"/>
  <c r="K387" i="14"/>
  <c r="K388" i="14"/>
  <c r="K389" i="14"/>
  <c r="K390" i="14"/>
  <c r="K391" i="14"/>
  <c r="K392" i="14"/>
  <c r="K393" i="14"/>
  <c r="K394" i="14"/>
  <c r="K395" i="14"/>
  <c r="K396" i="14"/>
  <c r="K397" i="14"/>
  <c r="K398" i="14"/>
  <c r="K399" i="14"/>
  <c r="K400" i="14"/>
  <c r="K401" i="14"/>
  <c r="K402" i="14"/>
  <c r="K403" i="14"/>
  <c r="K404" i="14"/>
  <c r="K405" i="14"/>
  <c r="K406" i="14"/>
  <c r="K407" i="14"/>
  <c r="K408" i="14"/>
  <c r="K409" i="14"/>
  <c r="K410" i="14"/>
  <c r="K411" i="14"/>
  <c r="K412" i="14"/>
  <c r="K413" i="14"/>
  <c r="K414" i="14"/>
  <c r="K415" i="14"/>
  <c r="K416" i="14"/>
  <c r="K417" i="14"/>
  <c r="K418" i="14"/>
  <c r="K419" i="14"/>
  <c r="K420" i="14"/>
  <c r="K421" i="14"/>
  <c r="K422" i="14"/>
  <c r="K423" i="14"/>
  <c r="K424" i="14"/>
  <c r="K425" i="14"/>
  <c r="K426" i="14"/>
  <c r="K427" i="14"/>
  <c r="K428" i="14"/>
  <c r="K429" i="14"/>
  <c r="K430" i="14"/>
  <c r="K431" i="14"/>
  <c r="K432" i="14"/>
  <c r="K433" i="14"/>
  <c r="K434" i="14"/>
  <c r="K435" i="14"/>
  <c r="K436" i="14"/>
  <c r="K437" i="14"/>
  <c r="K438" i="14"/>
  <c r="K439" i="14"/>
  <c r="K440" i="14"/>
  <c r="K441" i="14"/>
  <c r="K442" i="14"/>
  <c r="K443" i="14"/>
  <c r="K444" i="14"/>
  <c r="K445" i="14"/>
  <c r="K446" i="14"/>
  <c r="K447" i="14"/>
  <c r="K448" i="14"/>
  <c r="K449" i="14"/>
  <c r="K450" i="14"/>
  <c r="K451" i="14"/>
  <c r="K452" i="14"/>
  <c r="K453" i="14"/>
  <c r="K454" i="14"/>
  <c r="K455" i="14"/>
  <c r="K456" i="14"/>
  <c r="K457" i="14"/>
  <c r="K458" i="14"/>
  <c r="K459" i="14"/>
  <c r="K460" i="14"/>
  <c r="K461" i="14"/>
  <c r="K462" i="14"/>
  <c r="K463" i="14"/>
  <c r="K464" i="14"/>
  <c r="K465" i="14"/>
  <c r="K466" i="14"/>
  <c r="K467" i="14"/>
  <c r="K468" i="14"/>
  <c r="K469" i="14"/>
  <c r="K470" i="14"/>
  <c r="K471" i="14"/>
  <c r="K472" i="14"/>
  <c r="K473" i="14"/>
  <c r="K474" i="14"/>
  <c r="K475" i="14"/>
  <c r="K476" i="14"/>
  <c r="K477" i="14"/>
  <c r="K478" i="14"/>
  <c r="K479" i="14"/>
  <c r="K480" i="14"/>
  <c r="K481" i="14"/>
  <c r="K482" i="14"/>
  <c r="K483" i="14"/>
  <c r="K484" i="14"/>
  <c r="K485" i="14"/>
  <c r="K486" i="14"/>
  <c r="K487" i="14"/>
  <c r="K488" i="14"/>
  <c r="K489" i="14"/>
  <c r="K490" i="14"/>
  <c r="K491" i="14"/>
  <c r="K492" i="14"/>
  <c r="K493" i="14"/>
  <c r="K494" i="14"/>
  <c r="K495" i="14"/>
  <c r="K496" i="14"/>
  <c r="K497" i="14"/>
  <c r="K498" i="14"/>
  <c r="K499" i="14"/>
  <c r="K500" i="14"/>
  <c r="K501" i="14"/>
  <c r="K502" i="14"/>
  <c r="J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2F581D-294B-4E36-BD8B-9A0DECD7F8E0}" keepAlive="1" name="Query - DAY_8" description="Connection to the 'DAY_8' query in the workbook." type="5" refreshedVersion="0" background="1">
    <dbPr connection="Provider=Microsoft.Mashup.OleDb.1;Data Source=$Workbook$;Location=DAY_8;Extended Properties=&quot;&quot;" command="SELECT * FROM [DAY_8]"/>
  </connection>
</connections>
</file>

<file path=xl/sharedStrings.xml><?xml version="1.0" encoding="utf-8"?>
<sst xmlns="http://schemas.openxmlformats.org/spreadsheetml/2006/main" count="8564" uniqueCount="2003">
  <si>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</si>
  <si>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</si>
  <si>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</si>
  <si>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</si>
  <si>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</si>
  <si>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</si>
  <si>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</si>
  <si>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</si>
  <si>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</si>
  <si>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</si>
  <si>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</si>
  <si>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</si>
  <si>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</si>
  <si>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</si>
  <si>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</si>
  <si>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</si>
  <si>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</si>
  <si>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</si>
  <si>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FL250002</t>
  </si>
  <si>
    <t>Vanessa Garcia</t>
  </si>
  <si>
    <t>FEMALE</t>
  </si>
  <si>
    <t>USD 100</t>
  </si>
  <si>
    <t>FL250003</t>
  </si>
  <si>
    <t>Juan Nelson</t>
  </si>
  <si>
    <t>FL250004</t>
  </si>
  <si>
    <t>Amanda Spencer</t>
  </si>
  <si>
    <t>$40</t>
  </si>
  <si>
    <t>FL250005</t>
  </si>
  <si>
    <t>FL250006</t>
  </si>
  <si>
    <t>Lisa Johnson</t>
  </si>
  <si>
    <t>AI</t>
  </si>
  <si>
    <t>$30</t>
  </si>
  <si>
    <t>FL250007</t>
  </si>
  <si>
    <t>Eric Myers</t>
  </si>
  <si>
    <t>USD 75</t>
  </si>
  <si>
    <t>FL250008</t>
  </si>
  <si>
    <t>Ricky Graham</t>
  </si>
  <si>
    <t>USD 40</t>
  </si>
  <si>
    <t>FL250009</t>
  </si>
  <si>
    <t>Sean Martin</t>
  </si>
  <si>
    <t>US</t>
  </si>
  <si>
    <t>FL250010</t>
  </si>
  <si>
    <t>Matthew Lloyd</t>
  </si>
  <si>
    <t>MALE</t>
  </si>
  <si>
    <t>$50</t>
  </si>
  <si>
    <t>FL250011</t>
  </si>
  <si>
    <t>Gavin Randall</t>
  </si>
  <si>
    <t>UK</t>
  </si>
  <si>
    <t>FL250012</t>
  </si>
  <si>
    <t>Michelle Curtis</t>
  </si>
  <si>
    <t>FL250013</t>
  </si>
  <si>
    <t>Alice Schneider</t>
  </si>
  <si>
    <t>FL250014</t>
  </si>
  <si>
    <t>Phillip Shelton</t>
  </si>
  <si>
    <t>FL250015</t>
  </si>
  <si>
    <t>Edward Ferguson</t>
  </si>
  <si>
    <t>FL250016</t>
  </si>
  <si>
    <t>Wyatt Stout</t>
  </si>
  <si>
    <t>FL250017</t>
  </si>
  <si>
    <t>Laura Johnson</t>
  </si>
  <si>
    <t>FL250018</t>
  </si>
  <si>
    <t>Scott Burns</t>
  </si>
  <si>
    <t>FL250019</t>
  </si>
  <si>
    <t>Tyler Aguirre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</si>
  <si>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</si>
  <si>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</si>
  <si>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</si>
  <si>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</si>
  <si>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</si>
  <si>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</si>
  <si>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</si>
  <si>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</si>
  <si>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</si>
  <si>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USD 30</t>
  </si>
  <si>
    <t>FL250024</t>
  </si>
  <si>
    <t>Melanie Carter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</si>
  <si>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</si>
  <si>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</si>
  <si>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</si>
  <si>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</si>
  <si>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</si>
  <si>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</si>
  <si>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</si>
  <si>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</si>
  <si>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</si>
  <si>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FL250029</t>
  </si>
  <si>
    <t>Megan Jones</t>
  </si>
  <si>
    <t>FL250030</t>
  </si>
  <si>
    <t>Lori Smith</t>
  </si>
  <si>
    <t>FL250031</t>
  </si>
  <si>
    <t>Eric Carpenter</t>
  </si>
  <si>
    <t>FL250032</t>
  </si>
  <si>
    <t>Timothy Daniels</t>
  </si>
  <si>
    <t>FL250033</t>
  </si>
  <si>
    <t>Robert Nelson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</si>
  <si>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</si>
  <si>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</si>
  <si>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</si>
  <si>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</si>
  <si>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</si>
  <si>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</si>
  <si>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</si>
  <si>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</si>
  <si>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</si>
  <si>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</si>
  <si>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</si>
  <si>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</si>
  <si>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</si>
  <si>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</si>
  <si>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</si>
  <si>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</si>
  <si>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</si>
  <si>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</si>
  <si>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</si>
  <si>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</si>
  <si>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</si>
  <si>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</si>
  <si>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</si>
  <si>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</si>
  <si>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</si>
  <si>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</si>
  <si>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</si>
  <si>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</si>
  <si>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</si>
  <si>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</si>
  <si>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</si>
  <si>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</si>
  <si>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FL250049</t>
  </si>
  <si>
    <t>Dominique Ward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</si>
  <si>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</si>
  <si>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</si>
  <si>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</si>
  <si>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</si>
  <si>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</si>
  <si>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</si>
  <si>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</si>
  <si>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</si>
  <si>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</si>
  <si>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</si>
  <si>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</si>
  <si>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</si>
  <si>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</si>
  <si>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</si>
  <si>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</si>
  <si>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</si>
  <si>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</si>
  <si>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</si>
  <si>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</si>
  <si>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</si>
  <si>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</si>
  <si>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</si>
  <si>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</si>
  <si>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</si>
  <si>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</si>
  <si>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</si>
  <si>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</si>
  <si>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</si>
  <si>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</si>
  <si>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</si>
  <si>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</si>
  <si>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</si>
  <si>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</si>
  <si>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</si>
  <si>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</si>
  <si>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</si>
  <si>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</si>
  <si>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</si>
  <si>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</si>
  <si>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</si>
  <si>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</si>
  <si>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</si>
  <si>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</si>
  <si>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</si>
  <si>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</si>
  <si>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</si>
  <si>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</si>
  <si>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</si>
  <si>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</si>
  <si>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</si>
  <si>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</si>
  <si>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</si>
  <si>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</si>
  <si>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</si>
  <si>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</si>
  <si>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</si>
  <si>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</si>
  <si>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</si>
  <si>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</si>
  <si>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</si>
  <si>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</si>
  <si>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</si>
  <si>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</si>
  <si>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</si>
  <si>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</si>
  <si>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</si>
  <si>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</si>
  <si>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</si>
  <si>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</si>
  <si>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</si>
  <si>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</si>
  <si>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</si>
  <si>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</si>
  <si>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</si>
  <si>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</si>
  <si>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</si>
  <si>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</si>
  <si>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</si>
  <si>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</si>
  <si>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</si>
  <si>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</si>
  <si>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</si>
  <si>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</si>
  <si>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</si>
  <si>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</si>
  <si>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</si>
  <si>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</si>
  <si>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</si>
  <si>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</si>
  <si>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</si>
  <si>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</si>
  <si>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</si>
  <si>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</si>
  <si>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</si>
  <si>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</si>
  <si>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</si>
  <si>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</si>
  <si>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</si>
  <si>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</si>
  <si>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</si>
  <si>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</si>
  <si>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</si>
  <si>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</si>
  <si>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</si>
  <si>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</si>
  <si>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</si>
  <si>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</si>
  <si>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</si>
  <si>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</si>
  <si>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</si>
  <si>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</si>
  <si>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</si>
  <si>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</si>
  <si>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</si>
  <si>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</si>
  <si>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</si>
  <si>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</si>
  <si>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</si>
  <si>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</si>
  <si>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</si>
  <si>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</si>
  <si>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</si>
  <si>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</si>
  <si>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</si>
  <si>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</si>
  <si>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</si>
  <si>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</si>
  <si>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</si>
  <si>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</si>
  <si>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</si>
  <si>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</si>
  <si>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</si>
  <si>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</si>
  <si>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</si>
  <si>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</si>
  <si>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</si>
  <si>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</si>
  <si>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</si>
  <si>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</si>
  <si>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</si>
  <si>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</si>
  <si>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</si>
  <si>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</si>
  <si>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</si>
  <si>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</si>
  <si>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</si>
  <si>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</si>
  <si>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</si>
  <si>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</si>
  <si>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</si>
  <si>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</si>
  <si>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</si>
  <si>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</si>
  <si>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</si>
  <si>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</si>
  <si>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</si>
  <si>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</si>
  <si>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</si>
  <si>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</si>
  <si>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</si>
  <si>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</si>
  <si>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</si>
  <si>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</si>
  <si>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</si>
  <si>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</si>
  <si>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</si>
  <si>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</si>
  <si>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</si>
  <si>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</si>
  <si>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</si>
  <si>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</si>
  <si>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</si>
  <si>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</si>
  <si>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</si>
  <si>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</si>
  <si>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</si>
  <si>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</si>
  <si>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</si>
  <si>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</si>
  <si>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</si>
  <si>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</si>
  <si>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</si>
  <si>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</si>
  <si>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</si>
  <si>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</si>
  <si>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</si>
  <si>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</si>
  <si>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</si>
  <si>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</si>
  <si>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</si>
  <si>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</si>
  <si>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</si>
  <si>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</si>
  <si>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</si>
  <si>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</si>
  <si>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</si>
  <si>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</si>
  <si>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</si>
  <si>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</si>
  <si>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</si>
  <si>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</si>
  <si>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</si>
  <si>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</si>
  <si>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</si>
  <si>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</si>
  <si>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</si>
  <si>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</si>
  <si>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</si>
  <si>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</si>
  <si>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</si>
  <si>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</si>
  <si>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</si>
  <si>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</si>
  <si>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</si>
  <si>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</si>
  <si>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</si>
  <si>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</si>
  <si>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</si>
  <si>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</si>
  <si>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</si>
  <si>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</si>
  <si>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</si>
  <si>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</si>
  <si>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</si>
  <si>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</si>
  <si>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</si>
  <si>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</si>
  <si>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</si>
  <si>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</si>
  <si>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</si>
  <si>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</si>
  <si>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</si>
  <si>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</si>
  <si>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</si>
  <si>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</si>
  <si>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</si>
  <si>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</si>
  <si>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</si>
  <si>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</si>
  <si>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</si>
  <si>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</si>
  <si>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</si>
  <si>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</si>
  <si>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</si>
  <si>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</si>
  <si>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</si>
  <si>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</si>
  <si>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</si>
  <si>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</si>
  <si>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</si>
  <si>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</si>
  <si>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</si>
  <si>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</si>
  <si>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</si>
  <si>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</si>
  <si>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</si>
  <si>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</si>
  <si>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</si>
  <si>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</si>
  <si>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</si>
  <si>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</si>
  <si>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</si>
  <si>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</si>
  <si>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</si>
  <si>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</si>
  <si>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</si>
  <si>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</si>
  <si>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</si>
  <si>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</si>
  <si>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</si>
  <si>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</si>
  <si>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</si>
  <si>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</si>
  <si>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</si>
  <si>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</si>
  <si>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</si>
  <si>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</si>
  <si>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</si>
  <si>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</si>
  <si>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</si>
  <si>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</si>
  <si>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</si>
  <si>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</si>
  <si>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</si>
  <si>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</si>
  <si>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</si>
  <si>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</si>
  <si>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</si>
  <si>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</si>
  <si>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</si>
  <si>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</si>
  <si>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</si>
  <si>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</si>
  <si>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</si>
  <si>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</si>
  <si>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</si>
  <si>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</si>
  <si>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</si>
  <si>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</si>
  <si>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</si>
  <si>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</si>
  <si>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</si>
  <si>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</si>
  <si>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</si>
  <si>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</si>
  <si>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</si>
  <si>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</si>
  <si>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</si>
  <si>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</si>
  <si>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</si>
  <si>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</si>
  <si>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</si>
  <si>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</si>
  <si>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</si>
  <si>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</si>
  <si>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</si>
  <si>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</si>
  <si>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</si>
  <si>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</si>
  <si>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</si>
  <si>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</si>
  <si>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</si>
  <si>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</si>
  <si>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</si>
  <si>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</si>
  <si>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</si>
  <si>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</si>
  <si>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</si>
  <si>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</si>
  <si>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</si>
  <si>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</si>
  <si>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</si>
  <si>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</si>
  <si>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</si>
  <si>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</si>
  <si>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</si>
  <si>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</si>
  <si>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</si>
  <si>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</si>
  <si>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</si>
  <si>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</si>
  <si>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</si>
  <si>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</si>
  <si>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</si>
  <si>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</si>
  <si>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</si>
  <si>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</si>
  <si>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</si>
  <si>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</si>
  <si>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</si>
  <si>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</si>
  <si>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</si>
  <si>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</si>
  <si>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</si>
  <si>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</si>
  <si>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</si>
  <si>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</si>
  <si>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</si>
  <si>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</si>
  <si>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</si>
  <si>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</si>
  <si>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</si>
  <si>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</si>
  <si>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</si>
  <si>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</si>
  <si>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</si>
  <si>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</si>
  <si>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</si>
  <si>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</si>
  <si>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</si>
  <si>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</si>
  <si>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</si>
  <si>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</si>
  <si>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</si>
  <si>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</si>
  <si>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</si>
  <si>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</si>
  <si>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</si>
  <si>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</si>
  <si>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</si>
  <si>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</si>
  <si>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</si>
  <si>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</si>
  <si>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</si>
  <si>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</si>
  <si>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</si>
  <si>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</si>
  <si>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</si>
  <si>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</si>
  <si>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</si>
  <si>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</si>
  <si>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</si>
  <si>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</si>
  <si>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</si>
  <si>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</si>
  <si>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</si>
  <si>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</si>
  <si>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</si>
  <si>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</si>
  <si>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</si>
  <si>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</si>
  <si>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</si>
  <si>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</si>
  <si>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</si>
  <si>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</si>
  <si>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</si>
  <si>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</si>
  <si>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</si>
  <si>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</si>
  <si>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</si>
  <si>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</si>
  <si>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</si>
  <si>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</si>
  <si>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</si>
  <si>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</si>
  <si>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</si>
  <si>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</si>
  <si>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</si>
  <si>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</si>
  <si>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</si>
  <si>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</si>
  <si>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</si>
  <si>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</si>
  <si>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</si>
  <si>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</si>
  <si>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</si>
  <si>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</si>
  <si>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</si>
  <si>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</si>
  <si>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</si>
  <si>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</si>
  <si>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</si>
  <si>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</si>
  <si>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</si>
  <si>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</si>
  <si>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</si>
  <si>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</si>
  <si>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</si>
  <si>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</si>
  <si>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</si>
  <si>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</si>
  <si>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</si>
  <si>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</si>
  <si>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</si>
  <si>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</si>
  <si>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</si>
  <si>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</si>
  <si>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</si>
  <si>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</si>
  <si>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</si>
  <si>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</si>
  <si>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</si>
  <si>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</si>
  <si>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</si>
  <si>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</si>
  <si>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</si>
  <si>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</si>
  <si>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</si>
  <si>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</si>
  <si>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</si>
  <si>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</si>
  <si>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</si>
  <si>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</si>
  <si>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</si>
  <si>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</si>
  <si>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</si>
  <si>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</si>
  <si>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</si>
  <si>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</si>
  <si>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</si>
  <si>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</si>
  <si>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</si>
  <si>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</si>
  <si>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</si>
  <si>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</si>
  <si>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</si>
  <si>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</si>
  <si>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</si>
  <si>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</si>
  <si>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</si>
  <si>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</si>
  <si>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</si>
  <si>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</si>
  <si>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</si>
  <si>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</si>
  <si>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</si>
  <si>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</si>
  <si>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</si>
  <si>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</si>
  <si>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</si>
  <si>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</si>
  <si>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</si>
  <si>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</si>
  <si>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</si>
  <si>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</si>
  <si>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</si>
  <si>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</si>
  <si>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</si>
  <si>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</si>
  <si>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</si>
  <si>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</si>
  <si>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</si>
  <si>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</si>
  <si>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</si>
  <si>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</si>
  <si>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</si>
  <si>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</si>
  <si>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</si>
  <si>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</si>
  <si>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</si>
  <si>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</si>
  <si>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</si>
  <si>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</si>
  <si>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</si>
  <si>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</si>
  <si>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</si>
  <si>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</si>
  <si>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</si>
  <si>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</si>
  <si>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</si>
  <si>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</si>
  <si>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</si>
  <si>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</si>
  <si>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</si>
  <si>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</si>
  <si>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</si>
  <si>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</si>
  <si>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</si>
  <si>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</si>
  <si>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</si>
  <si>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</si>
  <si>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</si>
  <si>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</si>
  <si>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</si>
  <si>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</si>
  <si>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</si>
  <si>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</si>
  <si>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</si>
  <si>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</si>
  <si>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</si>
  <si>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</si>
  <si>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</si>
  <si>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</si>
  <si>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</si>
  <si>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</si>
  <si>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</si>
  <si>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</si>
  <si>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</si>
  <si>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</si>
  <si>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</si>
  <si>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</si>
  <si>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</si>
  <si>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</si>
  <si>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</si>
  <si>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</si>
  <si>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</si>
  <si>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</si>
  <si>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</si>
  <si>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</si>
  <si>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</si>
  <si>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</si>
  <si>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</si>
  <si>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</si>
  <si>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</si>
  <si>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</si>
  <si>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</si>
  <si>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</si>
  <si>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</si>
  <si>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</si>
  <si>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</si>
  <si>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</si>
  <si>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</si>
  <si>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</si>
  <si>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</si>
  <si>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</si>
  <si>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</si>
  <si>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</si>
  <si>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</si>
  <si>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</si>
  <si>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</si>
  <si>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</si>
  <si>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</si>
  <si>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</si>
  <si>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</si>
  <si>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</si>
  <si>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</si>
  <si>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</si>
  <si>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</si>
  <si>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</si>
  <si>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</si>
  <si>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</si>
  <si>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</si>
  <si>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</si>
  <si>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</si>
  <si>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</si>
  <si>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</si>
  <si>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</si>
  <si>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</si>
  <si>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</si>
  <si>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</si>
  <si>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</si>
  <si>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</si>
  <si>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</si>
  <si>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</si>
  <si>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</si>
  <si>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</si>
  <si>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</si>
  <si>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</si>
  <si>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</si>
  <si>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</si>
  <si>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</si>
  <si>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</si>
  <si>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</si>
  <si>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</si>
  <si>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</si>
  <si>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</si>
  <si>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</si>
  <si>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</si>
  <si>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</si>
  <si>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</si>
  <si>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</si>
  <si>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</si>
  <si>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</si>
  <si>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</si>
  <si>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</si>
  <si>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</si>
  <si>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</si>
  <si>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</si>
  <si>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</si>
  <si>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</si>
  <si>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</si>
  <si>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</si>
  <si>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</si>
  <si>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</si>
  <si>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</si>
  <si>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</si>
  <si>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</si>
  <si>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</si>
  <si>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</si>
  <si>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</si>
  <si>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</si>
  <si>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</si>
  <si>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</si>
  <si>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</si>
  <si>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</si>
  <si>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</si>
  <si>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</si>
  <si>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</si>
  <si>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</si>
  <si>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</si>
  <si>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</si>
  <si>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</si>
  <si>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</si>
  <si>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</si>
  <si>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</si>
  <si>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</si>
  <si>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</si>
  <si>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</si>
  <si>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</si>
  <si>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</si>
  <si>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</si>
  <si>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</si>
  <si>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</si>
  <si>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</si>
  <si>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</si>
  <si>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</si>
  <si>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</si>
  <si>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</si>
  <si>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</si>
  <si>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</si>
  <si>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</si>
  <si>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</si>
  <si>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</si>
  <si>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</si>
  <si>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</si>
  <si>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</si>
  <si>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</si>
  <si>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</si>
  <si>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</si>
  <si>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</si>
  <si>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</si>
  <si>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</si>
  <si>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</si>
  <si>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</si>
  <si>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</si>
  <si>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</si>
  <si>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</si>
  <si>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</si>
  <si>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</si>
  <si>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</si>
  <si>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</si>
  <si>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</si>
  <si>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</si>
  <si>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</si>
  <si>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</si>
  <si>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</si>
  <si>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</si>
  <si>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</si>
  <si>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</si>
  <si>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</si>
  <si>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</si>
  <si>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</si>
  <si>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</si>
  <si>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</si>
  <si>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</si>
  <si>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</si>
  <si>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</si>
  <si>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</si>
  <si>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</si>
  <si>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</si>
  <si>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</si>
  <si>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</si>
  <si>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</si>
  <si>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</si>
  <si>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</si>
  <si>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</si>
  <si>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</si>
  <si>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</si>
  <si>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</si>
  <si>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</si>
  <si>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</si>
  <si>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</si>
  <si>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</si>
  <si>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</si>
  <si>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</si>
  <si>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</si>
  <si>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</si>
  <si>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</si>
  <si>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</si>
  <si>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</si>
  <si>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</si>
  <si>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</si>
  <si>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</si>
  <si>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</si>
  <si>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</si>
  <si>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</si>
  <si>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</si>
  <si>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</si>
  <si>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</si>
  <si>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</si>
  <si>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</si>
  <si>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</si>
  <si>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</si>
  <si>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</si>
  <si>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</si>
  <si>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</si>
  <si>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</si>
  <si>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</si>
  <si>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</si>
  <si>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</si>
  <si>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</si>
  <si>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</si>
  <si>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</si>
  <si>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</si>
  <si>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</si>
  <si>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</si>
  <si>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</si>
  <si>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</si>
  <si>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</si>
  <si>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</si>
  <si>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</si>
  <si>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</si>
  <si>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</si>
  <si>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</si>
  <si>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</si>
  <si>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</si>
  <si>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</si>
  <si>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</si>
  <si>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</si>
  <si>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</si>
  <si>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</si>
  <si>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</si>
  <si>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</si>
  <si>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</si>
  <si>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</si>
  <si>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</si>
  <si>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</si>
  <si>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</si>
  <si>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</si>
  <si>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</si>
  <si>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</si>
  <si>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</si>
  <si>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</si>
  <si>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</si>
  <si>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</si>
  <si>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</si>
  <si>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</si>
  <si>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</si>
  <si>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</si>
  <si>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</si>
  <si>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</si>
  <si>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</si>
  <si>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</si>
  <si>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</si>
  <si>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</si>
  <si>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</si>
  <si>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</si>
  <si>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</si>
  <si>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</si>
  <si>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</si>
  <si>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</si>
  <si>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</si>
  <si>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</si>
  <si>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</si>
  <si>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</si>
  <si>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</si>
  <si>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</si>
  <si>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</si>
  <si>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</si>
  <si>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</si>
  <si>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</si>
  <si>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</si>
  <si>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</si>
  <si>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</si>
  <si>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</si>
  <si>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</si>
  <si>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</si>
  <si>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</si>
  <si>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</si>
  <si>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</si>
  <si>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</si>
  <si>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</si>
  <si>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</si>
  <si>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</si>
  <si>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</si>
  <si>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</si>
  <si>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</si>
  <si>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</si>
  <si>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</si>
  <si>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</si>
  <si>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</si>
  <si>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</si>
  <si>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</si>
  <si>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</si>
  <si>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</si>
  <si>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</si>
  <si>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</si>
  <si>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</si>
  <si>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</si>
  <si>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</si>
  <si>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</si>
  <si>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</si>
  <si>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</si>
  <si>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</si>
  <si>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</si>
  <si>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</si>
  <si>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</si>
  <si>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</si>
  <si>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</si>
  <si>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</si>
  <si>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</si>
  <si>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</si>
  <si>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</si>
  <si>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</si>
  <si>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</si>
  <si>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</si>
  <si>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</si>
  <si>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</si>
  <si>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</si>
  <si>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</si>
  <si>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</si>
  <si>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</si>
  <si>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</si>
  <si>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</si>
  <si>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</si>
  <si>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</si>
  <si>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</si>
  <si>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</si>
  <si>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</si>
  <si>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</si>
  <si>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</si>
  <si>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</si>
  <si>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</si>
  <si>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</si>
  <si>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</si>
  <si>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</si>
  <si>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</si>
  <si>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</si>
  <si>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</si>
  <si>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</si>
  <si>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</si>
  <si>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</si>
  <si>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</si>
  <si>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</si>
  <si>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</si>
  <si>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</si>
  <si>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</si>
  <si>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</si>
  <si>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</si>
  <si>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FL250499</t>
  </si>
  <si>
    <t>Robin Moore</t>
  </si>
  <si>
    <t>Column1</t>
  </si>
  <si>
    <t>ITALY</t>
  </si>
  <si>
    <t>ITALIAN</t>
  </si>
  <si>
    <t>BLOCKCHAIN DEVELOPMENT</t>
  </si>
  <si>
    <t>REVIEWED</t>
  </si>
  <si>
    <t>ON HOLD</t>
  </si>
  <si>
    <t>AUSTRALIA</t>
  </si>
  <si>
    <t>ENGLISH</t>
  </si>
  <si>
    <t>MOBILE APPS</t>
  </si>
  <si>
    <t>COMPLETED</t>
  </si>
  <si>
    <t>GERMANY</t>
  </si>
  <si>
    <t>GRAPHIC DESIGN</t>
  </si>
  <si>
    <t>ACTIVE</t>
  </si>
  <si>
    <t>WEB DEVELOPMENT</t>
  </si>
  <si>
    <t>Lynn Curtis Dds</t>
  </si>
  <si>
    <t>MACHINE LEARNING</t>
  </si>
  <si>
    <t>NETHERLANDS</t>
  </si>
  <si>
    <t>DUTCH</t>
  </si>
  <si>
    <t>URGENT</t>
  </si>
  <si>
    <t>INDONESIA</t>
  </si>
  <si>
    <t>INDONESIAN</t>
  </si>
  <si>
    <t>DATA ANALYSIS</t>
  </si>
  <si>
    <t>INACTIVE</t>
  </si>
  <si>
    <t>TURKEY</t>
  </si>
  <si>
    <t>TURKISH</t>
  </si>
  <si>
    <t>PENDING</t>
  </si>
  <si>
    <t>FOLLOW-UP</t>
  </si>
  <si>
    <t>ARGENTINA</t>
  </si>
  <si>
    <t>SPANISH</t>
  </si>
  <si>
    <t>UI/UX DESIGN</t>
  </si>
  <si>
    <t>CYBERSECURITY</t>
  </si>
  <si>
    <t>SOUTH KOREA</t>
  </si>
  <si>
    <t>JAPAN</t>
  </si>
  <si>
    <t>JAPANESE</t>
  </si>
  <si>
    <t>DEVOPS</t>
  </si>
  <si>
    <t>INDIA</t>
  </si>
  <si>
    <t>HINDI</t>
  </si>
  <si>
    <t>BRAZIL</t>
  </si>
  <si>
    <t>PORTUGUESE</t>
  </si>
  <si>
    <t>KOREAN</t>
  </si>
  <si>
    <t>RUSSIA</t>
  </si>
  <si>
    <t>RUSSIAN</t>
  </si>
  <si>
    <t>CANADA</t>
  </si>
  <si>
    <t>FRANCE</t>
  </si>
  <si>
    <t>FRENCH</t>
  </si>
  <si>
    <t>EGYPT</t>
  </si>
  <si>
    <t>ARABIC</t>
  </si>
  <si>
    <t>SOUTH AFRICA</t>
  </si>
  <si>
    <t>AFRIKAANS</t>
  </si>
  <si>
    <t>CHINA</t>
  </si>
  <si>
    <t>MANDARIN</t>
  </si>
  <si>
    <t>MEXICO</t>
  </si>
  <si>
    <t>SPAIN</t>
  </si>
  <si>
    <t>Allison Tucker Md</t>
  </si>
  <si>
    <t>Anthony Goodwin Dds</t>
  </si>
  <si>
    <t>Joel Brown Iii</t>
  </si>
  <si>
    <t>Anthony Huynh Md</t>
  </si>
  <si>
    <t>Natalie Frank Md</t>
  </si>
  <si>
    <t>Adam Kelly Phd</t>
  </si>
  <si>
    <t>Mr. Danny Morris Dds</t>
  </si>
  <si>
    <t>Aaron Stewart Phd</t>
  </si>
  <si>
    <t>Column3</t>
  </si>
  <si>
    <t>Cleaned Hourly rate</t>
  </si>
  <si>
    <t>0</t>
  </si>
  <si>
    <t>OBSERVATIONS</t>
  </si>
  <si>
    <t>Column2</t>
  </si>
  <si>
    <t>Ms.</t>
  </si>
  <si>
    <t>Nicole</t>
  </si>
  <si>
    <t>Kidd</t>
  </si>
  <si>
    <t>Vanessa</t>
  </si>
  <si>
    <t>Garcia</t>
  </si>
  <si>
    <t>Juan</t>
  </si>
  <si>
    <t>Nelson</t>
  </si>
  <si>
    <t>Amanda</t>
  </si>
  <si>
    <t>Spencer</t>
  </si>
  <si>
    <t>Lynn</t>
  </si>
  <si>
    <t>Curtis</t>
  </si>
  <si>
    <t>Dds</t>
  </si>
  <si>
    <t>Lisa</t>
  </si>
  <si>
    <t>Johnson</t>
  </si>
  <si>
    <t>Eric</t>
  </si>
  <si>
    <t>Myers</t>
  </si>
  <si>
    <t>Ricky</t>
  </si>
  <si>
    <t>Graham</t>
  </si>
  <si>
    <t>Sean</t>
  </si>
  <si>
    <t>Martin</t>
  </si>
  <si>
    <t>Matthew</t>
  </si>
  <si>
    <t>Lloyd</t>
  </si>
  <si>
    <t>Gavin</t>
  </si>
  <si>
    <t>Randall</t>
  </si>
  <si>
    <t>Michelle</t>
  </si>
  <si>
    <t>Alice</t>
  </si>
  <si>
    <t>Schneider</t>
  </si>
  <si>
    <t>Phillip</t>
  </si>
  <si>
    <t>Shelton</t>
  </si>
  <si>
    <t>Edward</t>
  </si>
  <si>
    <t>Ferguson</t>
  </si>
  <si>
    <t>Wyatt</t>
  </si>
  <si>
    <t>Stout</t>
  </si>
  <si>
    <t>Laura</t>
  </si>
  <si>
    <t>Scott</t>
  </si>
  <si>
    <t>Burns</t>
  </si>
  <si>
    <t>Tyler</t>
  </si>
  <si>
    <t>Aguirre</t>
  </si>
  <si>
    <t>Lawson</t>
  </si>
  <si>
    <t>James</t>
  </si>
  <si>
    <t>Cherry</t>
  </si>
  <si>
    <t>Samuel</t>
  </si>
  <si>
    <t>Sanford</t>
  </si>
  <si>
    <t>Cesar</t>
  </si>
  <si>
    <t>Greene</t>
  </si>
  <si>
    <t>Melanie</t>
  </si>
  <si>
    <t>Carter</t>
  </si>
  <si>
    <t>Jennifer</t>
  </si>
  <si>
    <t>Anna</t>
  </si>
  <si>
    <t>Mccann</t>
  </si>
  <si>
    <t>Marissa</t>
  </si>
  <si>
    <t>Bass</t>
  </si>
  <si>
    <t>Alexis</t>
  </si>
  <si>
    <t>Day</t>
  </si>
  <si>
    <t>Megan</t>
  </si>
  <si>
    <t>Jones</t>
  </si>
  <si>
    <t>Lori</t>
  </si>
  <si>
    <t>Smith</t>
  </si>
  <si>
    <t>Carpenter</t>
  </si>
  <si>
    <t>Timothy</t>
  </si>
  <si>
    <t>Daniels</t>
  </si>
  <si>
    <t>Robert</t>
  </si>
  <si>
    <t>Michael</t>
  </si>
  <si>
    <t>Anderson</t>
  </si>
  <si>
    <t>Jessica</t>
  </si>
  <si>
    <t>Snyder</t>
  </si>
  <si>
    <t>Emily</t>
  </si>
  <si>
    <t>Jamie</t>
  </si>
  <si>
    <t>Ramirez</t>
  </si>
  <si>
    <t>Amy</t>
  </si>
  <si>
    <t>Harrison</t>
  </si>
  <si>
    <t>Melinda</t>
  </si>
  <si>
    <t>White</t>
  </si>
  <si>
    <t>Hernandez</t>
  </si>
  <si>
    <t>Angelica</t>
  </si>
  <si>
    <t>Rogers</t>
  </si>
  <si>
    <t>Savannah</t>
  </si>
  <si>
    <t>Williams</t>
  </si>
  <si>
    <t>Kaitlyn</t>
  </si>
  <si>
    <t>Schmidt</t>
  </si>
  <si>
    <t>Jason</t>
  </si>
  <si>
    <t>Singh</t>
  </si>
  <si>
    <t>Brown</t>
  </si>
  <si>
    <t>Mrs.</t>
  </si>
  <si>
    <t>Samantha</t>
  </si>
  <si>
    <t>Simmons</t>
  </si>
  <si>
    <t>Chase</t>
  </si>
  <si>
    <t>Mason</t>
  </si>
  <si>
    <t>Dominique</t>
  </si>
  <si>
    <t>Ward</t>
  </si>
  <si>
    <t>Lance</t>
  </si>
  <si>
    <t>Griffin</t>
  </si>
  <si>
    <t>Julie</t>
  </si>
  <si>
    <t>Burgess</t>
  </si>
  <si>
    <t>Don</t>
  </si>
  <si>
    <t>Kyle</t>
  </si>
  <si>
    <t>Atkinson</t>
  </si>
  <si>
    <t>Jimmy</t>
  </si>
  <si>
    <t>Hogan</t>
  </si>
  <si>
    <t>Mcintyre</t>
  </si>
  <si>
    <t>Larry</t>
  </si>
  <si>
    <t>Simpson</t>
  </si>
  <si>
    <t>Price</t>
  </si>
  <si>
    <t>Mark</t>
  </si>
  <si>
    <t>Wright</t>
  </si>
  <si>
    <t>Mcdaniel</t>
  </si>
  <si>
    <t>Barbara</t>
  </si>
  <si>
    <t>Foster</t>
  </si>
  <si>
    <t>Courtney</t>
  </si>
  <si>
    <t>Tran</t>
  </si>
  <si>
    <t>Eddie</t>
  </si>
  <si>
    <t>Todd</t>
  </si>
  <si>
    <t>Christine</t>
  </si>
  <si>
    <t>Leah</t>
  </si>
  <si>
    <t>Phelps</t>
  </si>
  <si>
    <t>Rebekah</t>
  </si>
  <si>
    <t>Crystal</t>
  </si>
  <si>
    <t>Wilson</t>
  </si>
  <si>
    <t>Ashley</t>
  </si>
  <si>
    <t>Cordova</t>
  </si>
  <si>
    <t>Vicki</t>
  </si>
  <si>
    <t>Kelly</t>
  </si>
  <si>
    <t>Corey</t>
  </si>
  <si>
    <t>Warren</t>
  </si>
  <si>
    <t>Gina</t>
  </si>
  <si>
    <t>Thompson</t>
  </si>
  <si>
    <t>Yvonne</t>
  </si>
  <si>
    <t>Berg</t>
  </si>
  <si>
    <t>Thomas</t>
  </si>
  <si>
    <t>Miller</t>
  </si>
  <si>
    <t>Nicholas</t>
  </si>
  <si>
    <t>Burton</t>
  </si>
  <si>
    <t>Jorge</t>
  </si>
  <si>
    <t>Riley</t>
  </si>
  <si>
    <t>Melvin</t>
  </si>
  <si>
    <t>Harris</t>
  </si>
  <si>
    <t>Jeremy</t>
  </si>
  <si>
    <t>Meyer</t>
  </si>
  <si>
    <t>Lee</t>
  </si>
  <si>
    <t>Diana</t>
  </si>
  <si>
    <t>Bautista</t>
  </si>
  <si>
    <t>Leslie</t>
  </si>
  <si>
    <t>Rodriguez</t>
  </si>
  <si>
    <t>Noah</t>
  </si>
  <si>
    <t>Wiggins</t>
  </si>
  <si>
    <t>Bridget</t>
  </si>
  <si>
    <t>Veronica</t>
  </si>
  <si>
    <t>Baker</t>
  </si>
  <si>
    <t>Andrew</t>
  </si>
  <si>
    <t>Avila</t>
  </si>
  <si>
    <t>Roberson</t>
  </si>
  <si>
    <t>Austin</t>
  </si>
  <si>
    <t>Jenkins</t>
  </si>
  <si>
    <t>Brenda</t>
  </si>
  <si>
    <t>Green</t>
  </si>
  <si>
    <t>Pierce</t>
  </si>
  <si>
    <t>Briana</t>
  </si>
  <si>
    <t>Ronald</t>
  </si>
  <si>
    <t>Barrett</t>
  </si>
  <si>
    <t>Logan</t>
  </si>
  <si>
    <t>Huang</t>
  </si>
  <si>
    <t>Miranda</t>
  </si>
  <si>
    <t>Hutchinson</t>
  </si>
  <si>
    <t>Paul</t>
  </si>
  <si>
    <t>Richardson</t>
  </si>
  <si>
    <t>Jose</t>
  </si>
  <si>
    <t>Denise</t>
  </si>
  <si>
    <t>Shelby</t>
  </si>
  <si>
    <t>Mcmahon</t>
  </si>
  <si>
    <t>Bethany</t>
  </si>
  <si>
    <t>David</t>
  </si>
  <si>
    <t>Ortiz</t>
  </si>
  <si>
    <t>Lynch</t>
  </si>
  <si>
    <t>Kristopher</t>
  </si>
  <si>
    <t>Meyers</t>
  </si>
  <si>
    <t>Roth</t>
  </si>
  <si>
    <t>Stacy</t>
  </si>
  <si>
    <t>Sutton</t>
  </si>
  <si>
    <t>Kimberly</t>
  </si>
  <si>
    <t>Holland</t>
  </si>
  <si>
    <t>Travis</t>
  </si>
  <si>
    <t>Jasmin</t>
  </si>
  <si>
    <t>Ho</t>
  </si>
  <si>
    <t>Lewis</t>
  </si>
  <si>
    <t>Elizabeth</t>
  </si>
  <si>
    <t>Lester</t>
  </si>
  <si>
    <t>Warner</t>
  </si>
  <si>
    <t>Jane</t>
  </si>
  <si>
    <t>Cox</t>
  </si>
  <si>
    <t>Kevin</t>
  </si>
  <si>
    <t>Wong</t>
  </si>
  <si>
    <t>Andrews</t>
  </si>
  <si>
    <t>Torres</t>
  </si>
  <si>
    <t>Teresa</t>
  </si>
  <si>
    <t>Kim</t>
  </si>
  <si>
    <t>Jon</t>
  </si>
  <si>
    <t>Morgan</t>
  </si>
  <si>
    <t>Gloria</t>
  </si>
  <si>
    <t>Chaney</t>
  </si>
  <si>
    <t>Jesse</t>
  </si>
  <si>
    <t>Campbell</t>
  </si>
  <si>
    <t>Allison</t>
  </si>
  <si>
    <t>Tucker</t>
  </si>
  <si>
    <t>Md</t>
  </si>
  <si>
    <t>Candice</t>
  </si>
  <si>
    <t>Petersen</t>
  </si>
  <si>
    <t>Christopher</t>
  </si>
  <si>
    <t>Nichols</t>
  </si>
  <si>
    <t>Debra</t>
  </si>
  <si>
    <t>Fuentes</t>
  </si>
  <si>
    <t>Romero</t>
  </si>
  <si>
    <t>Clayton</t>
  </si>
  <si>
    <t>Jonathan</t>
  </si>
  <si>
    <t>Clark</t>
  </si>
  <si>
    <t>Alexander</t>
  </si>
  <si>
    <t>Shelly</t>
  </si>
  <si>
    <t>Whitehead</t>
  </si>
  <si>
    <t>Davis</t>
  </si>
  <si>
    <t>Cindy</t>
  </si>
  <si>
    <t>Jacobs</t>
  </si>
  <si>
    <t>Penny</t>
  </si>
  <si>
    <t>Ingram</t>
  </si>
  <si>
    <t>Donna</t>
  </si>
  <si>
    <t>Hansen</t>
  </si>
  <si>
    <t>Bailey</t>
  </si>
  <si>
    <t>Joshua</t>
  </si>
  <si>
    <t>Armstrong</t>
  </si>
  <si>
    <t>Garza</t>
  </si>
  <si>
    <t>Charles</t>
  </si>
  <si>
    <t>Lindsey</t>
  </si>
  <si>
    <t>Miles</t>
  </si>
  <si>
    <t>Eduardo</t>
  </si>
  <si>
    <t>Reed</t>
  </si>
  <si>
    <t>Fowler</t>
  </si>
  <si>
    <t>Steven</t>
  </si>
  <si>
    <t>Jr.</t>
  </si>
  <si>
    <t>Chen</t>
  </si>
  <si>
    <t>Erica</t>
  </si>
  <si>
    <t>Wayne</t>
  </si>
  <si>
    <t>Gonzales</t>
  </si>
  <si>
    <t>Gary</t>
  </si>
  <si>
    <t>Ballard</t>
  </si>
  <si>
    <t>Maria</t>
  </si>
  <si>
    <t>Mcguire</t>
  </si>
  <si>
    <t>Richards</t>
  </si>
  <si>
    <t>Patrick</t>
  </si>
  <si>
    <t>Malone</t>
  </si>
  <si>
    <t>Anne</t>
  </si>
  <si>
    <t>Edwards</t>
  </si>
  <si>
    <t>Mitchell</t>
  </si>
  <si>
    <t>Rebecca</t>
  </si>
  <si>
    <t>Lyons</t>
  </si>
  <si>
    <t>Christian</t>
  </si>
  <si>
    <t>Lopez</t>
  </si>
  <si>
    <t>Nathan</t>
  </si>
  <si>
    <t>Blair</t>
  </si>
  <si>
    <t>Patricia</t>
  </si>
  <si>
    <t>Wu</t>
  </si>
  <si>
    <t>Donald</t>
  </si>
  <si>
    <t>Gordon</t>
  </si>
  <si>
    <t>Gregory</t>
  </si>
  <si>
    <t>Clarke</t>
  </si>
  <si>
    <t>Whitney</t>
  </si>
  <si>
    <t>Robin</t>
  </si>
  <si>
    <t>Acosta</t>
  </si>
  <si>
    <t>John</t>
  </si>
  <si>
    <t>Susan</t>
  </si>
  <si>
    <t>Anthony</t>
  </si>
  <si>
    <t>Larsen</t>
  </si>
  <si>
    <t>Salazar</t>
  </si>
  <si>
    <t>William</t>
  </si>
  <si>
    <t>Caroline</t>
  </si>
  <si>
    <t>Gross</t>
  </si>
  <si>
    <t>Sawyer</t>
  </si>
  <si>
    <t>Frederick</t>
  </si>
  <si>
    <t>Ware</t>
  </si>
  <si>
    <t>Black</t>
  </si>
  <si>
    <t>Sanders</t>
  </si>
  <si>
    <t>Marc</t>
  </si>
  <si>
    <t>Joseph</t>
  </si>
  <si>
    <t>Zavala</t>
  </si>
  <si>
    <t>Brandon</t>
  </si>
  <si>
    <t>Ford</t>
  </si>
  <si>
    <t>Justin</t>
  </si>
  <si>
    <t>House</t>
  </si>
  <si>
    <t>Henry</t>
  </si>
  <si>
    <t>Mullen</t>
  </si>
  <si>
    <t>Cochran</t>
  </si>
  <si>
    <t>Melissa</t>
  </si>
  <si>
    <t>Rich</t>
  </si>
  <si>
    <t>Dunlap</t>
  </si>
  <si>
    <t>Troy</t>
  </si>
  <si>
    <t>Carson</t>
  </si>
  <si>
    <t>Brandi</t>
  </si>
  <si>
    <t>Zachary</t>
  </si>
  <si>
    <t>Burke</t>
  </si>
  <si>
    <t>Brian</t>
  </si>
  <si>
    <t>Dunn</t>
  </si>
  <si>
    <t>Shirley</t>
  </si>
  <si>
    <t>Strickland</t>
  </si>
  <si>
    <t>Jill</t>
  </si>
  <si>
    <t>Stephens</t>
  </si>
  <si>
    <t>Heidi</t>
  </si>
  <si>
    <t>Jesus</t>
  </si>
  <si>
    <t>Martinez</t>
  </si>
  <si>
    <t>Adam</t>
  </si>
  <si>
    <t>Payne</t>
  </si>
  <si>
    <t>Walter</t>
  </si>
  <si>
    <t>Shannon</t>
  </si>
  <si>
    <t>Farmer</t>
  </si>
  <si>
    <t>Peter</t>
  </si>
  <si>
    <t>Reyes</t>
  </si>
  <si>
    <t>Kristen</t>
  </si>
  <si>
    <t>Knight</t>
  </si>
  <si>
    <t>Moore</t>
  </si>
  <si>
    <t>Rowe</t>
  </si>
  <si>
    <t>Mikayla</t>
  </si>
  <si>
    <t>Jacob</t>
  </si>
  <si>
    <t>Kerr</t>
  </si>
  <si>
    <t>Ryan</t>
  </si>
  <si>
    <t>Ruiz</t>
  </si>
  <si>
    <t>Monica</t>
  </si>
  <si>
    <t>Roberts</t>
  </si>
  <si>
    <t>Danny</t>
  </si>
  <si>
    <t>Karen</t>
  </si>
  <si>
    <t>Evans</t>
  </si>
  <si>
    <t>Poole</t>
  </si>
  <si>
    <t>Richard</t>
  </si>
  <si>
    <t>Quinn</t>
  </si>
  <si>
    <t>Gonzalez</t>
  </si>
  <si>
    <t>Skinner</t>
  </si>
  <si>
    <t>Hill</t>
  </si>
  <si>
    <t>Jacqueline</t>
  </si>
  <si>
    <t>Darrell</t>
  </si>
  <si>
    <t>Crawford</t>
  </si>
  <si>
    <t>Chelsea</t>
  </si>
  <si>
    <t>Barber</t>
  </si>
  <si>
    <t>Elaine</t>
  </si>
  <si>
    <t>Kent</t>
  </si>
  <si>
    <t>Welch</t>
  </si>
  <si>
    <t>Stephen</t>
  </si>
  <si>
    <t>Chloe</t>
  </si>
  <si>
    <t>Gray</t>
  </si>
  <si>
    <t>Julia</t>
  </si>
  <si>
    <t>Murphy</t>
  </si>
  <si>
    <t>Fleming</t>
  </si>
  <si>
    <t>Daniel</t>
  </si>
  <si>
    <t>Harrington</t>
  </si>
  <si>
    <t>Barnett</t>
  </si>
  <si>
    <t>Cummings</t>
  </si>
  <si>
    <t>Guerra</t>
  </si>
  <si>
    <t>Sarah</t>
  </si>
  <si>
    <t>Watson</t>
  </si>
  <si>
    <t>Jackson</t>
  </si>
  <si>
    <t>Stephanie</t>
  </si>
  <si>
    <t>Olson</t>
  </si>
  <si>
    <t>Fred</t>
  </si>
  <si>
    <t>Stark</t>
  </si>
  <si>
    <t>Gill</t>
  </si>
  <si>
    <t>Knapp</t>
  </si>
  <si>
    <t>Walker</t>
  </si>
  <si>
    <t>Reeves</t>
  </si>
  <si>
    <t>Carrie</t>
  </si>
  <si>
    <t>Little</t>
  </si>
  <si>
    <t>Perry</t>
  </si>
  <si>
    <t>Cameron</t>
  </si>
  <si>
    <t>Holmes</t>
  </si>
  <si>
    <t>Jeffery</t>
  </si>
  <si>
    <t>Drake</t>
  </si>
  <si>
    <t>Dakota</t>
  </si>
  <si>
    <t>Wells</t>
  </si>
  <si>
    <t>Keith</t>
  </si>
  <si>
    <t>Heather</t>
  </si>
  <si>
    <t>Camacho</t>
  </si>
  <si>
    <t>Peterson</t>
  </si>
  <si>
    <t>Nancy</t>
  </si>
  <si>
    <t>Long</t>
  </si>
  <si>
    <t>Mr.</t>
  </si>
  <si>
    <t>Gaines</t>
  </si>
  <si>
    <t>Haley</t>
  </si>
  <si>
    <t>Yates</t>
  </si>
  <si>
    <t>Fisher</t>
  </si>
  <si>
    <t>Goodwin</t>
  </si>
  <si>
    <t>Meagan</t>
  </si>
  <si>
    <t>Walters</t>
  </si>
  <si>
    <t>Powell</t>
  </si>
  <si>
    <t>Dr.</t>
  </si>
  <si>
    <t>Aguilar</t>
  </si>
  <si>
    <t>Alex</t>
  </si>
  <si>
    <t>Novak</t>
  </si>
  <si>
    <t>Ann</t>
  </si>
  <si>
    <t>Contreras</t>
  </si>
  <si>
    <t>Mary</t>
  </si>
  <si>
    <t>Lauren</t>
  </si>
  <si>
    <t>Ross</t>
  </si>
  <si>
    <t>Wise</t>
  </si>
  <si>
    <t>Joyce</t>
  </si>
  <si>
    <t>Humphrey</t>
  </si>
  <si>
    <t>Carr</t>
  </si>
  <si>
    <t>Mendoza</t>
  </si>
  <si>
    <t>Cathy</t>
  </si>
  <si>
    <t>Baldwin</t>
  </si>
  <si>
    <t>Hart</t>
  </si>
  <si>
    <t>Mike</t>
  </si>
  <si>
    <t>Stanley</t>
  </si>
  <si>
    <t>Jeffrey</t>
  </si>
  <si>
    <t>Mendez</t>
  </si>
  <si>
    <t>Beth</t>
  </si>
  <si>
    <t>Crane</t>
  </si>
  <si>
    <t>Miguel</t>
  </si>
  <si>
    <t>Robles</t>
  </si>
  <si>
    <t>Joel</t>
  </si>
  <si>
    <t>Iii</t>
  </si>
  <si>
    <t>Olivia</t>
  </si>
  <si>
    <t>Schultz</t>
  </si>
  <si>
    <t>Pena</t>
  </si>
  <si>
    <t>Lucas</t>
  </si>
  <si>
    <t>Angela</t>
  </si>
  <si>
    <t>Ruben</t>
  </si>
  <si>
    <t>Briggs</t>
  </si>
  <si>
    <t>Giles</t>
  </si>
  <si>
    <t>Castillo</t>
  </si>
  <si>
    <t>Allen</t>
  </si>
  <si>
    <t>Danielle</t>
  </si>
  <si>
    <t>Costa</t>
  </si>
  <si>
    <t>Nunez</t>
  </si>
  <si>
    <t>Riggs</t>
  </si>
  <si>
    <t>Kathryn</t>
  </si>
  <si>
    <t>Walls</t>
  </si>
  <si>
    <t>Paula</t>
  </si>
  <si>
    <t>Stevens</t>
  </si>
  <si>
    <t>Hudson</t>
  </si>
  <si>
    <t>Dean</t>
  </si>
  <si>
    <t>Tammy</t>
  </si>
  <si>
    <t>Nathaniel</t>
  </si>
  <si>
    <t>Flores</t>
  </si>
  <si>
    <t>Edwin</t>
  </si>
  <si>
    <t>Brittany</t>
  </si>
  <si>
    <t>Mcdowell</t>
  </si>
  <si>
    <t>Robinson</t>
  </si>
  <si>
    <t>Aaron</t>
  </si>
  <si>
    <t>Pruitt</t>
  </si>
  <si>
    <t>Victoria</t>
  </si>
  <si>
    <t>Clarence</t>
  </si>
  <si>
    <t>Vega</t>
  </si>
  <si>
    <t>Deborah</t>
  </si>
  <si>
    <t>Rocha</t>
  </si>
  <si>
    <t>Elijah</t>
  </si>
  <si>
    <t>Velasquez</t>
  </si>
  <si>
    <t>Kurt</t>
  </si>
  <si>
    <t>Jeremiah</t>
  </si>
  <si>
    <t>Lang</t>
  </si>
  <si>
    <t>Phillips</t>
  </si>
  <si>
    <t>Andersen</t>
  </si>
  <si>
    <t>Mayo</t>
  </si>
  <si>
    <t>Vance</t>
  </si>
  <si>
    <t>Alexa</t>
  </si>
  <si>
    <t>Gallegos</t>
  </si>
  <si>
    <t>Pratt</t>
  </si>
  <si>
    <t>Christina</t>
  </si>
  <si>
    <t>Norman</t>
  </si>
  <si>
    <t>Webb</t>
  </si>
  <si>
    <t>Bradley</t>
  </si>
  <si>
    <t>Arthur</t>
  </si>
  <si>
    <t>Vasquez</t>
  </si>
  <si>
    <t>Castro</t>
  </si>
  <si>
    <t>Summer</t>
  </si>
  <si>
    <t>Yoder</t>
  </si>
  <si>
    <t>Jackie</t>
  </si>
  <si>
    <t>Manuel</t>
  </si>
  <si>
    <t>Keller</t>
  </si>
  <si>
    <t>Lara</t>
  </si>
  <si>
    <t>Garrison</t>
  </si>
  <si>
    <t>Gerald</t>
  </si>
  <si>
    <t>Ellis</t>
  </si>
  <si>
    <t>Douglas</t>
  </si>
  <si>
    <t>Mills</t>
  </si>
  <si>
    <t>Marks</t>
  </si>
  <si>
    <t>Phyllis</t>
  </si>
  <si>
    <t>Dawson</t>
  </si>
  <si>
    <t>Renee</t>
  </si>
  <si>
    <t>Arnold</t>
  </si>
  <si>
    <t>Proctor</t>
  </si>
  <si>
    <t>Hicks</t>
  </si>
  <si>
    <t>Joanne</t>
  </si>
  <si>
    <t>Isaac</t>
  </si>
  <si>
    <t>Estrada</t>
  </si>
  <si>
    <t>Huynh</t>
  </si>
  <si>
    <t>Mindy</t>
  </si>
  <si>
    <t>York</t>
  </si>
  <si>
    <t>Valencia</t>
  </si>
  <si>
    <t>Ethan</t>
  </si>
  <si>
    <t>Adams</t>
  </si>
  <si>
    <t>Brett</t>
  </si>
  <si>
    <t>Stacie</t>
  </si>
  <si>
    <t>Wall</t>
  </si>
  <si>
    <t>Sabrina</t>
  </si>
  <si>
    <t>Davidson</t>
  </si>
  <si>
    <t>Dustin</t>
  </si>
  <si>
    <t>Norris</t>
  </si>
  <si>
    <t>Sullivan</t>
  </si>
  <si>
    <t>Stone</t>
  </si>
  <si>
    <t>Diane</t>
  </si>
  <si>
    <t>Erickson</t>
  </si>
  <si>
    <t>Sara</t>
  </si>
  <si>
    <t>Moses</t>
  </si>
  <si>
    <t>Henderson</t>
  </si>
  <si>
    <t>Dixon</t>
  </si>
  <si>
    <t>Morrison</t>
  </si>
  <si>
    <t>Kathleen</t>
  </si>
  <si>
    <t>Natalie</t>
  </si>
  <si>
    <t>Frank</t>
  </si>
  <si>
    <t>Sheila</t>
  </si>
  <si>
    <t>Linda</t>
  </si>
  <si>
    <t>Regina</t>
  </si>
  <si>
    <t>Perkins</t>
  </si>
  <si>
    <t>Weaver</t>
  </si>
  <si>
    <t>Hall</t>
  </si>
  <si>
    <t>Walton</t>
  </si>
  <si>
    <t>Mcclain</t>
  </si>
  <si>
    <t>Williamson</t>
  </si>
  <si>
    <t>Downs</t>
  </si>
  <si>
    <t>Jack</t>
  </si>
  <si>
    <t>Ortega</t>
  </si>
  <si>
    <t>Marvin</t>
  </si>
  <si>
    <t>Tony</t>
  </si>
  <si>
    <t>French</t>
  </si>
  <si>
    <t>Washington</t>
  </si>
  <si>
    <t>Andrea</t>
  </si>
  <si>
    <t>Perez</t>
  </si>
  <si>
    <t>Angel</t>
  </si>
  <si>
    <t>Collins</t>
  </si>
  <si>
    <t>Terry</t>
  </si>
  <si>
    <t>Whitaker</t>
  </si>
  <si>
    <t>Neal</t>
  </si>
  <si>
    <t>Mercer</t>
  </si>
  <si>
    <t>Lindsay</t>
  </si>
  <si>
    <t>Maxwell</t>
  </si>
  <si>
    <t>Phd</t>
  </si>
  <si>
    <t>Becker</t>
  </si>
  <si>
    <t>Barrera</t>
  </si>
  <si>
    <t>Sanchez</t>
  </si>
  <si>
    <t>Tiffany</t>
  </si>
  <si>
    <t>Bowman</t>
  </si>
  <si>
    <t>Morris</t>
  </si>
  <si>
    <t>Mathis</t>
  </si>
  <si>
    <t>Jasmine</t>
  </si>
  <si>
    <t>Judith</t>
  </si>
  <si>
    <t>Moran</t>
  </si>
  <si>
    <t>Ian</t>
  </si>
  <si>
    <t>May</t>
  </si>
  <si>
    <t>Kayla</t>
  </si>
  <si>
    <t>Bray</t>
  </si>
  <si>
    <t>Duncan</t>
  </si>
  <si>
    <t>Gay</t>
  </si>
  <si>
    <t>Cheryl</t>
  </si>
  <si>
    <t>Freeman</t>
  </si>
  <si>
    <t>Craig</t>
  </si>
  <si>
    <t>Levine</t>
  </si>
  <si>
    <t>Harvey</t>
  </si>
  <si>
    <t>Bonnie</t>
  </si>
  <si>
    <t>Sherman</t>
  </si>
  <si>
    <t>Trujillo</t>
  </si>
  <si>
    <t>Combs</t>
  </si>
  <si>
    <t>Antonio</t>
  </si>
  <si>
    <t>King</t>
  </si>
  <si>
    <t>Cooper</t>
  </si>
  <si>
    <t>Raymond</t>
  </si>
  <si>
    <t>Horton</t>
  </si>
  <si>
    <t>Stewart</t>
  </si>
  <si>
    <t>TRIM  Hourly rate</t>
  </si>
  <si>
    <t>Nicole Kidd</t>
  </si>
  <si>
    <t xml:space="preserve">Garcia </t>
  </si>
  <si>
    <t xml:space="preserve">Nelson </t>
  </si>
  <si>
    <t xml:space="preserve">Spencer </t>
  </si>
  <si>
    <t>Curtis Dds</t>
  </si>
  <si>
    <t xml:space="preserve">Johnson </t>
  </si>
  <si>
    <t xml:space="preserve">Myers </t>
  </si>
  <si>
    <t xml:space="preserve">Graham </t>
  </si>
  <si>
    <t xml:space="preserve">Martin </t>
  </si>
  <si>
    <t xml:space="preserve">Lloyd </t>
  </si>
  <si>
    <t xml:space="preserve">Randall </t>
  </si>
  <si>
    <t xml:space="preserve">Curtis </t>
  </si>
  <si>
    <t xml:space="preserve">Schneider </t>
  </si>
  <si>
    <t xml:space="preserve">Shelton </t>
  </si>
  <si>
    <t xml:space="preserve">Ferguson </t>
  </si>
  <si>
    <t xml:space="preserve">Stout </t>
  </si>
  <si>
    <t xml:space="preserve">Burns </t>
  </si>
  <si>
    <t xml:space="preserve">Aguirre </t>
  </si>
  <si>
    <t xml:space="preserve">Lawson </t>
  </si>
  <si>
    <t xml:space="preserve">Cherry </t>
  </si>
  <si>
    <t xml:space="preserve">Sanford </t>
  </si>
  <si>
    <t xml:space="preserve">Greene </t>
  </si>
  <si>
    <t xml:space="preserve">Carter </t>
  </si>
  <si>
    <t xml:space="preserve">Mccann </t>
  </si>
  <si>
    <t xml:space="preserve">Bass </t>
  </si>
  <si>
    <t xml:space="preserve">Day </t>
  </si>
  <si>
    <t xml:space="preserve">Jones </t>
  </si>
  <si>
    <t xml:space="preserve">Smith </t>
  </si>
  <si>
    <t xml:space="preserve">Carpenter </t>
  </si>
  <si>
    <t xml:space="preserve">Daniels </t>
  </si>
  <si>
    <t xml:space="preserve">Anderson </t>
  </si>
  <si>
    <t xml:space="preserve">Snyder </t>
  </si>
  <si>
    <t xml:space="preserve">Ramirez </t>
  </si>
  <si>
    <t xml:space="preserve">Harrison </t>
  </si>
  <si>
    <t xml:space="preserve">White </t>
  </si>
  <si>
    <t xml:space="preserve">Hernandez </t>
  </si>
  <si>
    <t xml:space="preserve">Rogers </t>
  </si>
  <si>
    <t xml:space="preserve">Williams </t>
  </si>
  <si>
    <t xml:space="preserve">Schmidt </t>
  </si>
  <si>
    <t xml:space="preserve">Singh </t>
  </si>
  <si>
    <t xml:space="preserve">Brown </t>
  </si>
  <si>
    <t>Samantha Simmons</t>
  </si>
  <si>
    <t xml:space="preserve">Mason </t>
  </si>
  <si>
    <t xml:space="preserve">Ward </t>
  </si>
  <si>
    <t xml:space="preserve">Griffin </t>
  </si>
  <si>
    <t xml:space="preserve">Burgess </t>
  </si>
  <si>
    <t xml:space="preserve">Scott </t>
  </si>
  <si>
    <t xml:space="preserve">Atkinson </t>
  </si>
  <si>
    <t xml:space="preserve">Hogan </t>
  </si>
  <si>
    <t xml:space="preserve">Mcintyre </t>
  </si>
  <si>
    <t xml:space="preserve">Simpson </t>
  </si>
  <si>
    <t xml:space="preserve">Price </t>
  </si>
  <si>
    <t xml:space="preserve">Wright </t>
  </si>
  <si>
    <t xml:space="preserve">Mcdaniel </t>
  </si>
  <si>
    <t xml:space="preserve">Foster </t>
  </si>
  <si>
    <t xml:space="preserve">Tran </t>
  </si>
  <si>
    <t xml:space="preserve">Todd </t>
  </si>
  <si>
    <t xml:space="preserve">Phelps </t>
  </si>
  <si>
    <t xml:space="preserve">Wilson </t>
  </si>
  <si>
    <t xml:space="preserve">Cordova </t>
  </si>
  <si>
    <t xml:space="preserve">Kelly </t>
  </si>
  <si>
    <t xml:space="preserve">Warren </t>
  </si>
  <si>
    <t xml:space="preserve">Thompson </t>
  </si>
  <si>
    <t xml:space="preserve">Berg </t>
  </si>
  <si>
    <t xml:space="preserve">Miller </t>
  </si>
  <si>
    <t xml:space="preserve">Burton </t>
  </si>
  <si>
    <t xml:space="preserve">Riley </t>
  </si>
  <si>
    <t xml:space="preserve">Harris </t>
  </si>
  <si>
    <t xml:space="preserve">Meyer </t>
  </si>
  <si>
    <t xml:space="preserve">Lee </t>
  </si>
  <si>
    <t xml:space="preserve">Bautista </t>
  </si>
  <si>
    <t xml:space="preserve">Rodriguez </t>
  </si>
  <si>
    <t xml:space="preserve">Wiggins </t>
  </si>
  <si>
    <t xml:space="preserve">Baker </t>
  </si>
  <si>
    <t xml:space="preserve">Avila </t>
  </si>
  <si>
    <t xml:space="preserve">Roberson </t>
  </si>
  <si>
    <t xml:space="preserve">Jenkins </t>
  </si>
  <si>
    <t xml:space="preserve">Green </t>
  </si>
  <si>
    <t xml:space="preserve">Pierce </t>
  </si>
  <si>
    <t xml:space="preserve">Barrett </t>
  </si>
  <si>
    <t xml:space="preserve">Huang </t>
  </si>
  <si>
    <t xml:space="preserve">Hutchinson </t>
  </si>
  <si>
    <t xml:space="preserve">Richardson </t>
  </si>
  <si>
    <t xml:space="preserve">Mcmahon </t>
  </si>
  <si>
    <t xml:space="preserve">Ortiz </t>
  </si>
  <si>
    <t xml:space="preserve">Lynch </t>
  </si>
  <si>
    <t xml:space="preserve">Meyers </t>
  </si>
  <si>
    <t xml:space="preserve">Roth </t>
  </si>
  <si>
    <t xml:space="preserve">Sutton </t>
  </si>
  <si>
    <t xml:space="preserve">Holland </t>
  </si>
  <si>
    <t xml:space="preserve">Ho </t>
  </si>
  <si>
    <t xml:space="preserve">Paul </t>
  </si>
  <si>
    <t xml:space="preserve">Lewis </t>
  </si>
  <si>
    <t xml:space="preserve">Lester </t>
  </si>
  <si>
    <t xml:space="preserve">Warner </t>
  </si>
  <si>
    <t xml:space="preserve">Cox </t>
  </si>
  <si>
    <t xml:space="preserve">Wong </t>
  </si>
  <si>
    <t xml:space="preserve">Andrews </t>
  </si>
  <si>
    <t xml:space="preserve">Torres </t>
  </si>
  <si>
    <t xml:space="preserve">Kim </t>
  </si>
  <si>
    <t xml:space="preserve">Morgan </t>
  </si>
  <si>
    <t xml:space="preserve">Chaney </t>
  </si>
  <si>
    <t xml:space="preserve">Campbell </t>
  </si>
  <si>
    <t>Tucker Md</t>
  </si>
  <si>
    <t xml:space="preserve">Petersen </t>
  </si>
  <si>
    <t xml:space="preserve">Nichols </t>
  </si>
  <si>
    <t xml:space="preserve">Fuentes </t>
  </si>
  <si>
    <t xml:space="preserve">Romero </t>
  </si>
  <si>
    <t xml:space="preserve">Clark </t>
  </si>
  <si>
    <t xml:space="preserve">Whitehead </t>
  </si>
  <si>
    <t xml:space="preserve">Davis </t>
  </si>
  <si>
    <t xml:space="preserve">Jacobs </t>
  </si>
  <si>
    <t xml:space="preserve">Ingram </t>
  </si>
  <si>
    <t xml:space="preserve">Hansen </t>
  </si>
  <si>
    <t xml:space="preserve">Bailey </t>
  </si>
  <si>
    <t xml:space="preserve">Armstrong </t>
  </si>
  <si>
    <t xml:space="preserve">Garza </t>
  </si>
  <si>
    <t xml:space="preserve">Miles </t>
  </si>
  <si>
    <t xml:space="preserve">Reed </t>
  </si>
  <si>
    <t xml:space="preserve">Fowler </t>
  </si>
  <si>
    <t>Jones Jr.</t>
  </si>
  <si>
    <t xml:space="preserve">Chen </t>
  </si>
  <si>
    <t xml:space="preserve">Gonzales </t>
  </si>
  <si>
    <t xml:space="preserve">Ballard </t>
  </si>
  <si>
    <t xml:space="preserve">Mcguire </t>
  </si>
  <si>
    <t xml:space="preserve">Richards </t>
  </si>
  <si>
    <t xml:space="preserve">Malone </t>
  </si>
  <si>
    <t xml:space="preserve">Edwards </t>
  </si>
  <si>
    <t xml:space="preserve">Patrick </t>
  </si>
  <si>
    <t xml:space="preserve">Lyons </t>
  </si>
  <si>
    <t xml:space="preserve">Lopez </t>
  </si>
  <si>
    <t xml:space="preserve">Blair </t>
  </si>
  <si>
    <t xml:space="preserve">Wu </t>
  </si>
  <si>
    <t xml:space="preserve">Mitchell </t>
  </si>
  <si>
    <t xml:space="preserve">Gordon </t>
  </si>
  <si>
    <t xml:space="preserve">Clarke </t>
  </si>
  <si>
    <t xml:space="preserve">Whitney </t>
  </si>
  <si>
    <t xml:space="preserve">Acosta </t>
  </si>
  <si>
    <t xml:space="preserve">Larsen </t>
  </si>
  <si>
    <t xml:space="preserve">Salazar </t>
  </si>
  <si>
    <t xml:space="preserve">Gross </t>
  </si>
  <si>
    <t xml:space="preserve">Sawyer </t>
  </si>
  <si>
    <t xml:space="preserve">Ware </t>
  </si>
  <si>
    <t xml:space="preserve">Black </t>
  </si>
  <si>
    <t xml:space="preserve">Sanders </t>
  </si>
  <si>
    <t xml:space="preserve">Joseph </t>
  </si>
  <si>
    <t xml:space="preserve">Zavala </t>
  </si>
  <si>
    <t xml:space="preserve">Ford </t>
  </si>
  <si>
    <t xml:space="preserve">House </t>
  </si>
  <si>
    <t xml:space="preserve">Mullen </t>
  </si>
  <si>
    <t xml:space="preserve">Cochran </t>
  </si>
  <si>
    <t xml:space="preserve">Rich </t>
  </si>
  <si>
    <t xml:space="preserve">Dunlap </t>
  </si>
  <si>
    <t xml:space="preserve">Carson </t>
  </si>
  <si>
    <t xml:space="preserve">Tucker </t>
  </si>
  <si>
    <t xml:space="preserve">Burke </t>
  </si>
  <si>
    <t xml:space="preserve">Dunn </t>
  </si>
  <si>
    <t xml:space="preserve">Strickland </t>
  </si>
  <si>
    <t xml:space="preserve">Stephens </t>
  </si>
  <si>
    <t xml:space="preserve">Miranda </t>
  </si>
  <si>
    <t xml:space="preserve">Martinez </t>
  </si>
  <si>
    <t xml:space="preserve">Payne </t>
  </si>
  <si>
    <t xml:space="preserve">Farmer </t>
  </si>
  <si>
    <t xml:space="preserve">Reyes </t>
  </si>
  <si>
    <t xml:space="preserve">Knight </t>
  </si>
  <si>
    <t>Moore Jr.</t>
  </si>
  <si>
    <t xml:space="preserve">Rowe </t>
  </si>
  <si>
    <t xml:space="preserve">Henry </t>
  </si>
  <si>
    <t xml:space="preserve">Kerr </t>
  </si>
  <si>
    <t xml:space="preserve">Ruiz </t>
  </si>
  <si>
    <t xml:space="preserve">Roberts </t>
  </si>
  <si>
    <t xml:space="preserve">Evans </t>
  </si>
  <si>
    <t xml:space="preserve">Poole </t>
  </si>
  <si>
    <t xml:space="preserve">Quinn </t>
  </si>
  <si>
    <t xml:space="preserve">Gonzalez </t>
  </si>
  <si>
    <t xml:space="preserve">Skinner </t>
  </si>
  <si>
    <t xml:space="preserve">Hill </t>
  </si>
  <si>
    <t xml:space="preserve">Crawford </t>
  </si>
  <si>
    <t xml:space="preserve">Barber </t>
  </si>
  <si>
    <t xml:space="preserve">Kent </t>
  </si>
  <si>
    <t xml:space="preserve">Welch </t>
  </si>
  <si>
    <t xml:space="preserve">Gray </t>
  </si>
  <si>
    <t>Williams Jr.</t>
  </si>
  <si>
    <t xml:space="preserve">Murphy </t>
  </si>
  <si>
    <t xml:space="preserve">Fleming </t>
  </si>
  <si>
    <t xml:space="preserve">Harrington </t>
  </si>
  <si>
    <t xml:space="preserve">Barnett </t>
  </si>
  <si>
    <t xml:space="preserve">Cummings </t>
  </si>
  <si>
    <t xml:space="preserve">Guerra </t>
  </si>
  <si>
    <t xml:space="preserve">Thomas </t>
  </si>
  <si>
    <t xml:space="preserve">Watson </t>
  </si>
  <si>
    <t xml:space="preserve">Jackson </t>
  </si>
  <si>
    <t xml:space="preserve">Olson </t>
  </si>
  <si>
    <t xml:space="preserve">Stark </t>
  </si>
  <si>
    <t xml:space="preserve">Gill </t>
  </si>
  <si>
    <t xml:space="preserve">Knapp </t>
  </si>
  <si>
    <t xml:space="preserve">Walker </t>
  </si>
  <si>
    <t xml:space="preserve">Reeves </t>
  </si>
  <si>
    <t xml:space="preserve">Little </t>
  </si>
  <si>
    <t xml:space="preserve">Perry </t>
  </si>
  <si>
    <t xml:space="preserve">Holmes </t>
  </si>
  <si>
    <t xml:space="preserve">Drake </t>
  </si>
  <si>
    <t xml:space="preserve">Wells </t>
  </si>
  <si>
    <t xml:space="preserve">Keith </t>
  </si>
  <si>
    <t xml:space="preserve">Camacho </t>
  </si>
  <si>
    <t xml:space="preserve">Peterson </t>
  </si>
  <si>
    <t xml:space="preserve">Long </t>
  </si>
  <si>
    <t>Juan Mitchell</t>
  </si>
  <si>
    <t xml:space="preserve">Gaines </t>
  </si>
  <si>
    <t xml:space="preserve">Yates </t>
  </si>
  <si>
    <t xml:space="preserve">Fisher </t>
  </si>
  <si>
    <t>Goodwin Dds</t>
  </si>
  <si>
    <t xml:space="preserve">Walters </t>
  </si>
  <si>
    <t xml:space="preserve">Powell </t>
  </si>
  <si>
    <t>Michael Aguilar</t>
  </si>
  <si>
    <t xml:space="preserve">Novak </t>
  </si>
  <si>
    <t xml:space="preserve">Contreras </t>
  </si>
  <si>
    <t xml:space="preserve">Ross </t>
  </si>
  <si>
    <t xml:space="preserve">Wise </t>
  </si>
  <si>
    <t xml:space="preserve">Humphrey </t>
  </si>
  <si>
    <t xml:space="preserve">Carr </t>
  </si>
  <si>
    <t xml:space="preserve">Mendoza </t>
  </si>
  <si>
    <t xml:space="preserve">Baldwin </t>
  </si>
  <si>
    <t xml:space="preserve">Hart </t>
  </si>
  <si>
    <t xml:space="preserve">Stanley </t>
  </si>
  <si>
    <t xml:space="preserve">Mendez </t>
  </si>
  <si>
    <t xml:space="preserve">Crane </t>
  </si>
  <si>
    <t xml:space="preserve">Robles </t>
  </si>
  <si>
    <t>Brown Iii</t>
  </si>
  <si>
    <t xml:space="preserve">Schultz </t>
  </si>
  <si>
    <t xml:space="preserve">Pena </t>
  </si>
  <si>
    <t xml:space="preserve">Lucas </t>
  </si>
  <si>
    <t>Angela Ward</t>
  </si>
  <si>
    <t xml:space="preserve">Briggs </t>
  </si>
  <si>
    <t xml:space="preserve">Giles </t>
  </si>
  <si>
    <t xml:space="preserve">Castillo </t>
  </si>
  <si>
    <t xml:space="preserve">Costa </t>
  </si>
  <si>
    <t xml:space="preserve">Nunez </t>
  </si>
  <si>
    <t xml:space="preserve">Riggs </t>
  </si>
  <si>
    <t xml:space="preserve">Walls </t>
  </si>
  <si>
    <t xml:space="preserve">Stevens </t>
  </si>
  <si>
    <t xml:space="preserve">Allen </t>
  </si>
  <si>
    <t xml:space="preserve">Hudson </t>
  </si>
  <si>
    <t xml:space="preserve">Dean </t>
  </si>
  <si>
    <t xml:space="preserve">Flores </t>
  </si>
  <si>
    <t xml:space="preserve">Mcdowell </t>
  </si>
  <si>
    <t xml:space="preserve">Robinson </t>
  </si>
  <si>
    <t xml:space="preserve">Pruitt </t>
  </si>
  <si>
    <t xml:space="preserve">Vega </t>
  </si>
  <si>
    <t xml:space="preserve">Rocha </t>
  </si>
  <si>
    <t>Velasquez Jr.</t>
  </si>
  <si>
    <t xml:space="preserve">Lang </t>
  </si>
  <si>
    <t xml:space="preserve">Phillips </t>
  </si>
  <si>
    <t xml:space="preserve">Andersen </t>
  </si>
  <si>
    <t xml:space="preserve">Mayo </t>
  </si>
  <si>
    <t xml:space="preserve">Vance </t>
  </si>
  <si>
    <t xml:space="preserve">Gallegos </t>
  </si>
  <si>
    <t xml:space="preserve">Pratt </t>
  </si>
  <si>
    <t xml:space="preserve">Norman </t>
  </si>
  <si>
    <t xml:space="preserve">Webb </t>
  </si>
  <si>
    <t xml:space="preserve">Aguilar </t>
  </si>
  <si>
    <t xml:space="preserve">Vasquez </t>
  </si>
  <si>
    <t xml:space="preserve">Castro </t>
  </si>
  <si>
    <t xml:space="preserve">Yoder </t>
  </si>
  <si>
    <t xml:space="preserve">Keller </t>
  </si>
  <si>
    <t xml:space="preserve">Lara </t>
  </si>
  <si>
    <t xml:space="preserve">Garrison </t>
  </si>
  <si>
    <t xml:space="preserve">Ellis </t>
  </si>
  <si>
    <t xml:space="preserve">Goodwin </t>
  </si>
  <si>
    <t xml:space="preserve">Mills </t>
  </si>
  <si>
    <t xml:space="preserve">Marks </t>
  </si>
  <si>
    <t xml:space="preserve">Dawson </t>
  </si>
  <si>
    <t xml:space="preserve">Arnold </t>
  </si>
  <si>
    <t xml:space="preserve">Proctor </t>
  </si>
  <si>
    <t xml:space="preserve">Hicks </t>
  </si>
  <si>
    <t xml:space="preserve">Estrada </t>
  </si>
  <si>
    <t>Huynh Md</t>
  </si>
  <si>
    <t xml:space="preserve">York </t>
  </si>
  <si>
    <t>Christine Cherry</t>
  </si>
  <si>
    <t>David Valencia</t>
  </si>
  <si>
    <t xml:space="preserve">Adams </t>
  </si>
  <si>
    <t xml:space="preserve">Moore </t>
  </si>
  <si>
    <t xml:space="preserve">Wall </t>
  </si>
  <si>
    <t xml:space="preserve">Austin </t>
  </si>
  <si>
    <t xml:space="preserve">Davidson </t>
  </si>
  <si>
    <t xml:space="preserve">Douglas </t>
  </si>
  <si>
    <t xml:space="preserve">Norris </t>
  </si>
  <si>
    <t xml:space="preserve">Sullivan </t>
  </si>
  <si>
    <t xml:space="preserve">Stone </t>
  </si>
  <si>
    <t xml:space="preserve">Erickson </t>
  </si>
  <si>
    <t xml:space="preserve">Moses </t>
  </si>
  <si>
    <t xml:space="preserve">Henderson </t>
  </si>
  <si>
    <t xml:space="preserve">Dixon </t>
  </si>
  <si>
    <t xml:space="preserve">Morrison </t>
  </si>
  <si>
    <t>Frank Md</t>
  </si>
  <si>
    <t xml:space="preserve">Daniel </t>
  </si>
  <si>
    <t xml:space="preserve">Perkins </t>
  </si>
  <si>
    <t xml:space="preserve">Weaver </t>
  </si>
  <si>
    <t xml:space="preserve">Hall </t>
  </si>
  <si>
    <t xml:space="preserve">Walton </t>
  </si>
  <si>
    <t xml:space="preserve">Mcclain </t>
  </si>
  <si>
    <t>Paul Williamson</t>
  </si>
  <si>
    <t xml:space="preserve">Downs </t>
  </si>
  <si>
    <t xml:space="preserve">Ortega </t>
  </si>
  <si>
    <t xml:space="preserve">French </t>
  </si>
  <si>
    <t xml:space="preserve">Washington </t>
  </si>
  <si>
    <t xml:space="preserve">Perez </t>
  </si>
  <si>
    <t xml:space="preserve">Collins </t>
  </si>
  <si>
    <t xml:space="preserve">Terry </t>
  </si>
  <si>
    <t xml:space="preserve">Whitaker </t>
  </si>
  <si>
    <t xml:space="preserve">Neal </t>
  </si>
  <si>
    <t xml:space="preserve">Mercer </t>
  </si>
  <si>
    <t>Jessica Campbell</t>
  </si>
  <si>
    <t xml:space="preserve">Maxwell </t>
  </si>
  <si>
    <t>Kelly Phd</t>
  </si>
  <si>
    <t xml:space="preserve">Becker </t>
  </si>
  <si>
    <t xml:space="preserve">Barrera </t>
  </si>
  <si>
    <t xml:space="preserve">Sanchez </t>
  </si>
  <si>
    <t xml:space="preserve">Bowman </t>
  </si>
  <si>
    <t>Danny Morris</t>
  </si>
  <si>
    <t xml:space="preserve">Mathis </t>
  </si>
  <si>
    <t xml:space="preserve">Moran </t>
  </si>
  <si>
    <t xml:space="preserve">May </t>
  </si>
  <si>
    <t xml:space="preserve">Bray </t>
  </si>
  <si>
    <t xml:space="preserve">Duncan </t>
  </si>
  <si>
    <t xml:space="preserve">Gay </t>
  </si>
  <si>
    <t xml:space="preserve">Freeman </t>
  </si>
  <si>
    <t xml:space="preserve">Levine </t>
  </si>
  <si>
    <t xml:space="preserve">Harvey </t>
  </si>
  <si>
    <t xml:space="preserve">Sherman </t>
  </si>
  <si>
    <t xml:space="preserve">Trujillo </t>
  </si>
  <si>
    <t xml:space="preserve">Combs </t>
  </si>
  <si>
    <t xml:space="preserve">King </t>
  </si>
  <si>
    <t xml:space="preserve">Cooper </t>
  </si>
  <si>
    <t xml:space="preserve">Horton </t>
  </si>
  <si>
    <t>Stewart Phd</t>
  </si>
  <si>
    <t xml:space="preserve"> </t>
  </si>
  <si>
    <t>Column5</t>
  </si>
  <si>
    <t>nameUsing(Text to column)</t>
  </si>
  <si>
    <t>Name(Text to column)</t>
  </si>
  <si>
    <t>Surname using FlashFill)</t>
  </si>
  <si>
    <t>5.Clean and structured columns help in sorting, filtering, and creating reports accurately.</t>
  </si>
  <si>
    <r>
      <t xml:space="preserve">1. The </t>
    </r>
    <r>
      <rPr>
        <b/>
        <sz val="14"/>
        <color theme="1"/>
        <rFont val="Calibri"/>
        <family val="2"/>
        <scheme val="minor"/>
      </rPr>
      <t>Name</t>
    </r>
    <r>
      <rPr>
        <sz val="14"/>
        <color theme="1"/>
        <rFont val="Calibri"/>
        <family val="2"/>
        <scheme val="minor"/>
      </rPr>
      <t xml:space="preserve"> column contained combined information that was difficult to analyze directly.</t>
    </r>
  </si>
  <si>
    <r>
      <t xml:space="preserve">2. Using </t>
    </r>
    <r>
      <rPr>
        <b/>
        <sz val="14"/>
        <color theme="1"/>
        <rFont val="Calibri"/>
        <family val="2"/>
        <scheme val="minor"/>
      </rPr>
      <t>Text-to-Columns</t>
    </r>
    <r>
      <rPr>
        <sz val="14"/>
        <color theme="1"/>
        <rFont val="Calibri"/>
        <family val="2"/>
        <scheme val="minor"/>
      </rPr>
      <t>, the full name was separated into multiple meaningful columns.</t>
    </r>
  </si>
  <si>
    <r>
      <t>3. Flash Fill</t>
    </r>
    <r>
      <rPr>
        <sz val="14"/>
        <color theme="1"/>
        <rFont val="Calibri"/>
        <family val="2"/>
        <scheme val="minor"/>
      </rPr>
      <t xml:space="preserve"> quickly extracted  last name and surname without complex formulas.</t>
    </r>
  </si>
  <si>
    <r>
      <t>4. TRIM()</t>
    </r>
    <r>
      <rPr>
        <sz val="14"/>
        <color theme="1"/>
        <rFont val="Calibri"/>
        <family val="2"/>
        <scheme val="minor"/>
      </rPr>
      <t xml:space="preserve"> removed unnecessary spaces and standardized text formatting.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</si>
</sst>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9" fontId="0" fillId="0" borderId="10" xfId="0" applyNumberFormat="1" applyBorder="1" applyAlignment="1">
      <alignment horizontal="center"/>
    </xf>
    <xf numFmtId="9" fontId="0" fillId="0" borderId="12" xfId="0" applyNumberFormat="1" applyBorder="1" applyAlignment="1">
      <alignment horizontal="center"/>
    </xf>
    <xf numFmtId="9" fontId="0" fillId="0" borderId="0" xfId="42" applyFont="1"/>
    <xf numFmtId="0" fontId="18" fillId="0" borderId="0" xfId="0" applyFont="1"/>
    <xf numFmtId="0" fontId="18" fillId="0" borderId="0" xfId="0" applyFont="1" applyAlignment="1">
      <alignment horizontal="left" vertical="center" indent="1"/>
    </xf>
    <xf numFmtId="0" fontId="19" fillId="0" borderId="0" xfId="0" applyFont="1" applyAlignment="1">
      <alignment horizontal="left" vertical="center" indent="1"/>
    </xf>
    <xf numFmtId="0" fontId="0" fillId="0" borderId="0" xfId="0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0" xfId="0" applyBorder="1"/>
    <xf numFmtId="0" fontId="18" fillId="0" borderId="0" xfId="0" applyFont="1" applyBorder="1"/>
    <xf numFmtId="0" fontId="0" fillId="0" borderId="17" xfId="0" applyBorder="1"/>
    <xf numFmtId="0" fontId="18" fillId="0" borderId="16" xfId="0" applyFont="1" applyBorder="1"/>
    <xf numFmtId="0" fontId="18" fillId="0" borderId="0" xfId="0" applyFont="1" applyBorder="1" applyAlignment="1">
      <alignment horizontal="left" vertical="center" indent="1"/>
    </xf>
    <xf numFmtId="0" fontId="18" fillId="0" borderId="17" xfId="0" applyFont="1" applyBorder="1"/>
    <xf numFmtId="0" fontId="19" fillId="0" borderId="0" xfId="0" applyFont="1" applyBorder="1" applyAlignment="1">
      <alignment horizontal="left" vertical="center" indent="1"/>
    </xf>
    <xf numFmtId="0" fontId="18" fillId="0" borderId="18" xfId="0" applyFont="1" applyBorder="1"/>
    <xf numFmtId="0" fontId="19" fillId="0" borderId="19" xfId="0" applyFont="1" applyBorder="1" applyAlignment="1">
      <alignment vertical="center"/>
    </xf>
    <xf numFmtId="0" fontId="18" fillId="0" borderId="19" xfId="0" applyFont="1" applyBorder="1"/>
    <xf numFmtId="0" fontId="18" fillId="0" borderId="20" xfId="0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04EB1B-4F03-48D4-859A-763C3A1CC21B}" name="FREELANCER_2" displayName="FREELANCER_2" ref="A1:R1048576" totalsRowShown="0">
  <autoFilter ref="A1:R1048576" xr:uid="{8D04EB1B-4F03-48D4-859A-763C3A1CC21B}"/>
  <tableColumns count="18">
    <tableColumn id="1" xr3:uid="{5C94547B-0360-4FD1-A90F-802A42A8E894}" name="freelancer_ID" dataDxfId="19"/>
    <tableColumn id="2" xr3:uid="{46D0DE98-B114-4197-A19D-85BCF0D57CA5}" name="name" dataDxfId="18"/>
    <tableColumn id="3" xr3:uid="{91131F87-F61F-4AE8-8595-08C006912806}" name="gender" dataDxfId="17"/>
    <tableColumn id="4" xr3:uid="{F01CEFED-9413-4E72-B755-2B40C67B6A36}" name="age"/>
    <tableColumn id="5" xr3:uid="{1850817B-13F9-49B2-B63D-D9736CE9A00D}" name="country" dataDxfId="16"/>
    <tableColumn id="6" xr3:uid="{9AAD9FA9-5B9E-4EEE-9D01-12136EB6DD33}" name="language" dataDxfId="15"/>
    <tableColumn id="7" xr3:uid="{CEA2B3DC-A43B-4458-823C-4E36520E3B75}" name="primary_skill" dataDxfId="14"/>
    <tableColumn id="8" xr3:uid="{EDE65817-7821-479E-B81A-C22723AC2C3C}" name="years_of_experience"/>
    <tableColumn id="9" xr3:uid="{8A28A3EE-BDCA-4ABC-84FF-78ED420AB41C}" name="hourly_rate (USD)" dataDxfId="13"/>
    <tableColumn id="10" xr3:uid="{031D60CA-B2FA-4C7F-B174-D053BDF3DF0B}" name="Cleaned Hourly rate" dataDxfId="12"/>
    <tableColumn id="11" xr3:uid="{C54831A4-EA53-489D-9CD3-DB3BCB10AB9B}" name="rating"/>
    <tableColumn id="12" xr3:uid="{705589FD-65FD-4F88-83A0-59643D217D93}" name="is_active"/>
    <tableColumn id="13" xr3:uid="{350FA911-B135-4723-AEB1-B480F0CE1EBC}" name="client_satisfaction" dataDxfId="11"/>
    <tableColumn id="14" xr3:uid="{0B5806D7-0354-49CE-803A-079AA5797799}" name="Column1"/>
    <tableColumn id="15" xr3:uid="{9C8107C9-3E2A-494F-A3F8-690D17FB714D}" name="Notes" dataDxfId="10"/>
    <tableColumn id="16" xr3:uid="{E4F58F3B-0D39-4A85-96CE-B75B4F7BBAC2}" name="Status" dataDxfId="9"/>
    <tableColumn id="17" xr3:uid="{CFBB8842-8590-4FB8-AE62-61691776C386}" name="no of projects " dataDxfId="8"/>
    <tableColumn id="18" xr3:uid="{56304FFA-BF9D-48CD-ABE6-859243CD8E31}" name="duration_months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69D4164-1AB9-48FD-850B-E47168D199EB}" name="DAY_8" displayName="DAY_8" ref="A1:T502" totalsRowShown="0">
  <autoFilter ref="A1:T502" xr:uid="{669D4164-1AB9-48FD-850B-E47168D199EB}"/>
  <tableColumns count="20">
    <tableColumn id="1" xr3:uid="{EE038AD6-88FD-43EA-B504-B01BDBCCA3FB}" name="freelancer_ID" dataDxfId="7"/>
    <tableColumn id="2" xr3:uid="{9375BE55-43D4-4F81-9362-833FCFED72A4}" name="nameUsing(Text to column)" dataDxfId="6"/>
    <tableColumn id="3" xr3:uid="{EDAC1A89-A193-4155-9824-C4818E69D145}" name="Name(Text to column)" dataDxfId="5"/>
    <tableColumn id="4" xr3:uid="{3810D399-AFA7-4CD0-8829-8739A35A0563}" name="Column2"/>
    <tableColumn id="24" xr3:uid="{868379A5-A842-4DA1-B77D-5BE53E02557D}" name="Surname using FlashFill)"/>
    <tableColumn id="25" xr3:uid="{17905654-18D9-4948-9416-F80F09F3F9CA}" name="Column5"/>
    <tableColumn id="6" xr3:uid="{7EBFA6F1-8BB7-45C1-A6BA-4A7735162684}" name="language" dataDxfId="1"/>
    <tableColumn id="7" xr3:uid="{E41193C6-1374-4254-8CAA-8B4E0B475C9C}" name="primary_skill" dataDxfId="0"/>
    <tableColumn id="8" xr3:uid="{B37F9F42-F242-4AFF-AC53-C749000F8495}" name="years_of_experience"/>
    <tableColumn id="9" xr3:uid="{09FC3EC4-1014-4B5E-B6E6-BDEEDD2925A8}" name="hourly_rate (USD)"/>
    <tableColumn id="23" xr3:uid="{F68D0F3B-1012-403F-8D8E-4CF5ED403938}" name="TRIM  Hourly rate" dataDxfId="2">
      <calculatedColumnFormula>TRIM(J2)</calculatedColumnFormula>
    </tableColumn>
    <tableColumn id="10" xr3:uid="{693FAAD1-2633-443C-B96F-F0785B07BE37}" name="Cleaned Hourly rate"/>
    <tableColumn id="11" xr3:uid="{68C2E365-79F0-475F-A388-173E5170B477}" name="rating"/>
    <tableColumn id="12" xr3:uid="{6C6B22E2-C3AF-4E78-A13F-6406E39E1FE1}" name="is_active"/>
    <tableColumn id="13" xr3:uid="{B93887EB-7ADC-4E3A-978F-FF78E3FD539F}" name="0"/>
    <tableColumn id="14" xr3:uid="{021F2C0A-5022-40E5-A73C-21DEB31210D7}" name="Column3" dataCellStyle="Percent"/>
    <tableColumn id="15" xr3:uid="{26DD3E17-BDF7-4D65-BA67-7AAF00FF49A2}" name="Notes" dataDxfId="4"/>
    <tableColumn id="16" xr3:uid="{11E63F88-736D-4273-97FD-AC87C95A072C}" name="Status" dataDxfId="3"/>
    <tableColumn id="17" xr3:uid="{58654C53-FD14-4B05-8198-69241743D1E9}" name="no of projects "/>
    <tableColumn id="18" xr3:uid="{04A66BD7-7BC8-4B5B-92DB-2AC144A9D862}" name="duration_month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9D20A-9EA6-49D5-AAB6-848D6F4ADB5D}">
  <dimension ref="A1:R502"/>
  <sheetViews>
    <sheetView topLeftCell="I1" workbookViewId="0">
      <selection activeCell="N2" sqref="N2"/>
    </sheetView>
  </sheetViews>
  <sheetFormatPr defaultRowHeight="15" x14ac:dyDescent="0.25"/>
  <cols>
    <col min="1" max="1" width="15.42578125" bestFit="1" customWidth="1"/>
    <col min="2" max="2" width="23" bestFit="1" customWidth="1"/>
    <col min="3" max="3" width="9.5703125" bestFit="1" customWidth="1"/>
    <col min="4" max="4" width="6.42578125" bestFit="1" customWidth="1"/>
    <col min="5" max="5" width="14" bestFit="1" customWidth="1"/>
    <col min="6" max="6" width="12.5703125" bestFit="1" customWidth="1"/>
    <col min="7" max="7" width="26.5703125" bestFit="1" customWidth="1"/>
    <col min="8" max="8" width="22.140625" bestFit="1" customWidth="1"/>
    <col min="9" max="9" width="19.28515625" style="3" bestFit="1" customWidth="1"/>
    <col min="10" max="10" width="21.140625" style="3" bestFit="1" customWidth="1"/>
    <col min="11" max="11" width="8.42578125" bestFit="1" customWidth="1"/>
    <col min="12" max="12" width="11" bestFit="1" customWidth="1"/>
    <col min="13" max="13" width="19.7109375" style="3" bestFit="1" customWidth="1"/>
    <col min="14" max="14" width="11.140625" bestFit="1" customWidth="1"/>
    <col min="15" max="15" width="11.5703125" style="3" bestFit="1" customWidth="1"/>
    <col min="16" max="16" width="11.5703125" bestFit="1" customWidth="1"/>
    <col min="17" max="17" width="16" style="3" bestFit="1" customWidth="1"/>
    <col min="18" max="18" width="18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1082</v>
      </c>
      <c r="K1" t="s">
        <v>9</v>
      </c>
      <c r="L1" t="s">
        <v>10</v>
      </c>
      <c r="M1" s="1" t="s">
        <v>11</v>
      </c>
      <c r="N1" t="s">
        <v>1020</v>
      </c>
      <c r="O1" s="3" t="s">
        <v>12</v>
      </c>
      <c r="P1" t="s">
        <v>13</v>
      </c>
      <c r="Q1" s="3" t="s">
        <v>14</v>
      </c>
      <c r="R1" t="s">
        <v>15</v>
      </c>
    </row>
    <row r="2" spans="1:18" x14ac:dyDescent="0.25">
      <c r="A2" t="s">
        <v>16</v>
      </c>
      <c r="B2" t="s">
        <v>17</v>
      </c>
      <c r="C2" t="s">
        <v>20</v>
      </c>
      <c r="D2">
        <v>52</v>
      </c>
      <c r="E2" t="s">
        <v>1021</v>
      </c>
      <c r="F2" t="s">
        <v>1022</v>
      </c>
      <c r="G2" t="s">
        <v>1023</v>
      </c>
      <c r="H2">
        <v>11</v>
      </c>
      <c r="I2" s="3">
        <v>100</v>
      </c>
      <c r="J2" s="3" t="str">
        <f>IF(FREELANCER_2[[#This Row],[hourly_rate (USD)]]="","",SUBSTITUTE(SUBSTITUTE(FREELANCER_2[[#This Row],[hourly_rate (USD)]],"USD",""),"$",""))</f>
        <v>100</v>
      </c>
      <c r="K2">
        <v>2.4</v>
      </c>
      <c r="L2" t="b">
        <v>0</v>
      </c>
      <c r="M2" s="2"/>
      <c r="O2" s="3" t="s">
        <v>1024</v>
      </c>
      <c r="P2" t="s">
        <v>1025</v>
      </c>
      <c r="Q2" s="3">
        <v>13</v>
      </c>
      <c r="R2">
        <v>6</v>
      </c>
    </row>
    <row r="3" spans="1:18" x14ac:dyDescent="0.25">
      <c r="A3" t="s">
        <v>18</v>
      </c>
      <c r="B3" t="s">
        <v>19</v>
      </c>
      <c r="C3" t="s">
        <v>20</v>
      </c>
      <c r="D3">
        <v>52</v>
      </c>
      <c r="E3" t="s">
        <v>1026</v>
      </c>
      <c r="F3" t="s">
        <v>1027</v>
      </c>
      <c r="G3" t="s">
        <v>1028</v>
      </c>
      <c r="H3">
        <v>34</v>
      </c>
      <c r="I3" s="3" t="s">
        <v>21</v>
      </c>
      <c r="J3" s="3">
        <v>100</v>
      </c>
      <c r="K3">
        <v>3.3</v>
      </c>
      <c r="L3" t="b">
        <v>1</v>
      </c>
      <c r="M3" s="4">
        <v>0.84</v>
      </c>
      <c r="O3" s="3" t="s">
        <v>1024</v>
      </c>
      <c r="P3" t="s">
        <v>1029</v>
      </c>
      <c r="Q3" s="3">
        <v>10</v>
      </c>
      <c r="R3">
        <v>7</v>
      </c>
    </row>
    <row r="4" spans="1:18" x14ac:dyDescent="0.25">
      <c r="A4" t="s">
        <v>22</v>
      </c>
      <c r="B4" t="s">
        <v>23</v>
      </c>
      <c r="C4" t="s">
        <v>43</v>
      </c>
      <c r="D4">
        <v>53</v>
      </c>
      <c r="E4" t="s">
        <v>1030</v>
      </c>
      <c r="F4" t="s">
        <v>1030</v>
      </c>
      <c r="G4" t="s">
        <v>1031</v>
      </c>
      <c r="H4">
        <v>31</v>
      </c>
      <c r="I4" s="3">
        <v>50</v>
      </c>
      <c r="J4" s="3">
        <v>50</v>
      </c>
      <c r="K4">
        <v>0</v>
      </c>
      <c r="L4" t="b">
        <v>0</v>
      </c>
      <c r="M4" s="4">
        <v>0.71</v>
      </c>
      <c r="O4" s="3" t="s">
        <v>1024</v>
      </c>
      <c r="P4" t="s">
        <v>1032</v>
      </c>
      <c r="Q4" s="3">
        <v>16</v>
      </c>
      <c r="R4">
        <v>16</v>
      </c>
    </row>
    <row r="5" spans="1:18" x14ac:dyDescent="0.25">
      <c r="A5" t="s">
        <v>24</v>
      </c>
      <c r="B5" t="s">
        <v>25</v>
      </c>
      <c r="C5" t="s">
        <v>20</v>
      </c>
      <c r="D5">
        <v>38</v>
      </c>
      <c r="E5" t="s">
        <v>1026</v>
      </c>
      <c r="F5" t="s">
        <v>1027</v>
      </c>
      <c r="G5" t="s">
        <v>1033</v>
      </c>
      <c r="H5">
        <v>4</v>
      </c>
      <c r="I5" s="3" t="s">
        <v>26</v>
      </c>
      <c r="J5" s="3">
        <v>40</v>
      </c>
      <c r="K5">
        <v>1.5</v>
      </c>
      <c r="L5" t="b">
        <v>0</v>
      </c>
      <c r="M5" s="4">
        <v>0.9</v>
      </c>
      <c r="O5" s="3" t="s">
        <v>1024</v>
      </c>
      <c r="P5" t="s">
        <v>1029</v>
      </c>
      <c r="Q5" s="3">
        <v>5</v>
      </c>
      <c r="R5">
        <v>1</v>
      </c>
    </row>
    <row r="6" spans="1:18" x14ac:dyDescent="0.25">
      <c r="A6" t="s">
        <v>27</v>
      </c>
      <c r="B6" t="s">
        <v>1034</v>
      </c>
      <c r="C6" t="s">
        <v>20</v>
      </c>
      <c r="D6">
        <v>53</v>
      </c>
      <c r="E6" t="s">
        <v>1030</v>
      </c>
      <c r="F6" t="s">
        <v>1030</v>
      </c>
      <c r="G6" t="s">
        <v>1035</v>
      </c>
      <c r="H6">
        <v>27</v>
      </c>
      <c r="I6" s="3">
        <v>30</v>
      </c>
      <c r="J6" s="3">
        <v>30</v>
      </c>
      <c r="K6">
        <v>4.8</v>
      </c>
      <c r="L6" t="b">
        <v>0</v>
      </c>
      <c r="M6" s="4">
        <v>0.83</v>
      </c>
      <c r="O6" s="3" t="s">
        <v>1024</v>
      </c>
      <c r="P6" t="s">
        <v>1025</v>
      </c>
      <c r="Q6" s="3">
        <v>13</v>
      </c>
      <c r="R6">
        <v>3</v>
      </c>
    </row>
    <row r="7" spans="1:18" x14ac:dyDescent="0.25">
      <c r="A7" t="s">
        <v>28</v>
      </c>
      <c r="B7" t="s">
        <v>29</v>
      </c>
      <c r="C7" t="s">
        <v>20</v>
      </c>
      <c r="D7">
        <v>59</v>
      </c>
      <c r="E7" t="s">
        <v>1036</v>
      </c>
      <c r="F7" t="s">
        <v>1037</v>
      </c>
      <c r="G7" t="s">
        <v>30</v>
      </c>
      <c r="H7">
        <v>14</v>
      </c>
      <c r="I7" s="3" t="s">
        <v>31</v>
      </c>
      <c r="J7" s="3">
        <v>30</v>
      </c>
      <c r="K7">
        <v>2.4</v>
      </c>
      <c r="L7" t="b">
        <v>0</v>
      </c>
      <c r="M7" s="2"/>
      <c r="O7" s="3" t="s">
        <v>1038</v>
      </c>
      <c r="P7" t="s">
        <v>1032</v>
      </c>
      <c r="Q7" s="3">
        <v>8</v>
      </c>
      <c r="R7">
        <v>3</v>
      </c>
    </row>
    <row r="8" spans="1:18" x14ac:dyDescent="0.25">
      <c r="A8" t="s">
        <v>32</v>
      </c>
      <c r="B8" t="s">
        <v>33</v>
      </c>
      <c r="C8" t="s">
        <v>43</v>
      </c>
      <c r="D8">
        <v>52</v>
      </c>
      <c r="E8" t="s">
        <v>1039</v>
      </c>
      <c r="F8" t="s">
        <v>1040</v>
      </c>
      <c r="G8" t="s">
        <v>1041</v>
      </c>
      <c r="H8">
        <v>10</v>
      </c>
      <c r="I8" s="3" t="s">
        <v>34</v>
      </c>
      <c r="J8" s="3">
        <v>75</v>
      </c>
      <c r="K8">
        <v>3.1</v>
      </c>
      <c r="L8" t="b">
        <v>0</v>
      </c>
      <c r="M8" s="4">
        <v>0.94</v>
      </c>
      <c r="O8" s="3" t="s">
        <v>1024</v>
      </c>
      <c r="P8" t="s">
        <v>1025</v>
      </c>
      <c r="Q8" s="3">
        <v>10</v>
      </c>
      <c r="R8">
        <v>3</v>
      </c>
    </row>
    <row r="9" spans="1:18" x14ac:dyDescent="0.25">
      <c r="A9" t="s">
        <v>35</v>
      </c>
      <c r="B9" t="s">
        <v>36</v>
      </c>
      <c r="C9" t="s">
        <v>43</v>
      </c>
      <c r="D9">
        <v>43</v>
      </c>
      <c r="E9" t="s">
        <v>1021</v>
      </c>
      <c r="F9" t="s">
        <v>1022</v>
      </c>
      <c r="G9" t="s">
        <v>1023</v>
      </c>
      <c r="H9">
        <v>14</v>
      </c>
      <c r="I9" s="3" t="s">
        <v>37</v>
      </c>
      <c r="J9" s="3">
        <v>40</v>
      </c>
      <c r="K9">
        <v>4.5999999999999996</v>
      </c>
      <c r="L9" t="b">
        <v>0</v>
      </c>
      <c r="M9" s="4">
        <v>0.94</v>
      </c>
      <c r="O9" s="3" t="s">
        <v>1038</v>
      </c>
      <c r="P9" t="s">
        <v>1025</v>
      </c>
      <c r="Q9" s="3">
        <v>7</v>
      </c>
      <c r="R9">
        <v>10</v>
      </c>
    </row>
    <row r="10" spans="1:18" x14ac:dyDescent="0.25">
      <c r="A10" t="s">
        <v>38</v>
      </c>
      <c r="B10" t="s">
        <v>39</v>
      </c>
      <c r="C10" t="s">
        <v>43</v>
      </c>
      <c r="D10">
        <v>26</v>
      </c>
      <c r="E10" t="s">
        <v>40</v>
      </c>
      <c r="F10" t="s">
        <v>1027</v>
      </c>
      <c r="G10" t="s">
        <v>1023</v>
      </c>
      <c r="H10">
        <v>4</v>
      </c>
      <c r="J10" s="3">
        <v>52</v>
      </c>
      <c r="K10">
        <v>4</v>
      </c>
      <c r="L10" t="b">
        <v>1</v>
      </c>
      <c r="M10" s="4">
        <v>0.76</v>
      </c>
      <c r="O10" s="3" t="s">
        <v>1024</v>
      </c>
      <c r="P10" t="s">
        <v>1042</v>
      </c>
      <c r="Q10" s="3">
        <v>2</v>
      </c>
      <c r="R10">
        <v>4</v>
      </c>
    </row>
    <row r="11" spans="1:18" x14ac:dyDescent="0.25">
      <c r="A11" t="s">
        <v>41</v>
      </c>
      <c r="B11" t="s">
        <v>42</v>
      </c>
      <c r="C11" t="s">
        <v>43</v>
      </c>
      <c r="D11">
        <v>52</v>
      </c>
      <c r="E11" t="s">
        <v>1043</v>
      </c>
      <c r="F11" t="s">
        <v>1044</v>
      </c>
      <c r="G11" t="s">
        <v>30</v>
      </c>
      <c r="H11">
        <v>22</v>
      </c>
      <c r="I11" s="3" t="s">
        <v>44</v>
      </c>
      <c r="J11" s="3">
        <v>50</v>
      </c>
      <c r="K11">
        <v>2.4</v>
      </c>
      <c r="L11" t="b">
        <v>1</v>
      </c>
      <c r="M11" s="2"/>
      <c r="O11" s="3" t="s">
        <v>1045</v>
      </c>
      <c r="P11" t="s">
        <v>1032</v>
      </c>
      <c r="Q11" s="3">
        <v>16</v>
      </c>
      <c r="R11">
        <v>5</v>
      </c>
    </row>
    <row r="12" spans="1:18" x14ac:dyDescent="0.25">
      <c r="A12" t="s">
        <v>45</v>
      </c>
      <c r="B12" t="s">
        <v>46</v>
      </c>
      <c r="C12" t="s">
        <v>43</v>
      </c>
      <c r="D12">
        <v>40</v>
      </c>
      <c r="E12" t="s">
        <v>47</v>
      </c>
      <c r="F12" t="s">
        <v>1027</v>
      </c>
      <c r="G12" t="s">
        <v>1041</v>
      </c>
      <c r="H12">
        <v>17</v>
      </c>
      <c r="I12" s="3">
        <v>40</v>
      </c>
      <c r="J12" s="3">
        <v>40</v>
      </c>
      <c r="K12">
        <v>3.6</v>
      </c>
      <c r="L12" t="b">
        <v>1</v>
      </c>
      <c r="M12" s="4">
        <v>0.77</v>
      </c>
      <c r="O12" s="3" t="s">
        <v>1046</v>
      </c>
      <c r="P12" t="s">
        <v>1042</v>
      </c>
      <c r="Q12" s="3">
        <v>20</v>
      </c>
      <c r="R12">
        <v>5</v>
      </c>
    </row>
    <row r="13" spans="1:18" x14ac:dyDescent="0.25">
      <c r="A13" t="s">
        <v>48</v>
      </c>
      <c r="B13" t="s">
        <v>49</v>
      </c>
      <c r="C13" t="s">
        <v>20</v>
      </c>
      <c r="D13">
        <v>55</v>
      </c>
      <c r="E13" t="s">
        <v>1047</v>
      </c>
      <c r="F13" t="s">
        <v>1048</v>
      </c>
      <c r="G13" t="s">
        <v>1049</v>
      </c>
      <c r="H13">
        <v>15</v>
      </c>
      <c r="J13" s="3">
        <v>52</v>
      </c>
      <c r="K13">
        <v>2.4</v>
      </c>
      <c r="L13" t="b">
        <v>1</v>
      </c>
      <c r="M13" s="4">
        <v>0.86</v>
      </c>
      <c r="O13" s="3" t="s">
        <v>1038</v>
      </c>
      <c r="P13" t="s">
        <v>1032</v>
      </c>
      <c r="Q13" s="3">
        <v>13</v>
      </c>
      <c r="R13">
        <v>4</v>
      </c>
    </row>
    <row r="14" spans="1:18" x14ac:dyDescent="0.25">
      <c r="A14" t="s">
        <v>50</v>
      </c>
      <c r="B14" t="s">
        <v>51</v>
      </c>
      <c r="C14" t="s">
        <v>20</v>
      </c>
      <c r="D14">
        <v>57</v>
      </c>
      <c r="E14" t="s">
        <v>47</v>
      </c>
      <c r="F14" t="s">
        <v>1027</v>
      </c>
      <c r="G14" t="s">
        <v>1050</v>
      </c>
      <c r="H14">
        <v>18</v>
      </c>
      <c r="J14" s="3">
        <v>52</v>
      </c>
      <c r="K14">
        <v>2</v>
      </c>
      <c r="L14" t="b">
        <v>0</v>
      </c>
      <c r="M14" s="4">
        <v>0.86</v>
      </c>
      <c r="O14" s="3" t="s">
        <v>1024</v>
      </c>
      <c r="P14" t="s">
        <v>1025</v>
      </c>
      <c r="Q14" s="3">
        <v>16</v>
      </c>
      <c r="R14">
        <v>15</v>
      </c>
    </row>
    <row r="15" spans="1:18" x14ac:dyDescent="0.25">
      <c r="A15" t="s">
        <v>52</v>
      </c>
      <c r="B15" t="s">
        <v>53</v>
      </c>
      <c r="C15" t="s">
        <v>43</v>
      </c>
      <c r="D15">
        <v>38</v>
      </c>
      <c r="E15" t="s">
        <v>1051</v>
      </c>
      <c r="F15" t="s">
        <v>1048</v>
      </c>
      <c r="G15" t="s">
        <v>1031</v>
      </c>
      <c r="H15">
        <v>20</v>
      </c>
      <c r="I15" s="3" t="s">
        <v>34</v>
      </c>
      <c r="J15" s="3">
        <v>75</v>
      </c>
      <c r="K15">
        <v>2.9</v>
      </c>
      <c r="L15" t="b">
        <v>1</v>
      </c>
      <c r="M15" s="4">
        <v>0.93</v>
      </c>
      <c r="O15" s="3" t="s">
        <v>1045</v>
      </c>
      <c r="P15" t="s">
        <v>1025</v>
      </c>
      <c r="Q15" s="3">
        <v>17</v>
      </c>
      <c r="R15">
        <v>12</v>
      </c>
    </row>
    <row r="16" spans="1:18" x14ac:dyDescent="0.25">
      <c r="A16" t="s">
        <v>54</v>
      </c>
      <c r="B16" t="s">
        <v>55</v>
      </c>
      <c r="C16" t="s">
        <v>43</v>
      </c>
      <c r="D16">
        <v>50</v>
      </c>
      <c r="E16" t="s">
        <v>1030</v>
      </c>
      <c r="F16" t="s">
        <v>1030</v>
      </c>
      <c r="G16" t="s">
        <v>1041</v>
      </c>
      <c r="H16">
        <v>22</v>
      </c>
      <c r="I16" s="3">
        <v>75</v>
      </c>
      <c r="J16" s="3">
        <v>75</v>
      </c>
      <c r="K16">
        <v>3.7</v>
      </c>
      <c r="L16" t="b">
        <v>1</v>
      </c>
      <c r="M16" s="4">
        <v>0.7</v>
      </c>
      <c r="O16" s="3" t="s">
        <v>1046</v>
      </c>
      <c r="P16" t="s">
        <v>1029</v>
      </c>
      <c r="Q16" s="3">
        <v>14</v>
      </c>
      <c r="R16">
        <v>6</v>
      </c>
    </row>
    <row r="17" spans="1:18" x14ac:dyDescent="0.25">
      <c r="A17" t="s">
        <v>56</v>
      </c>
      <c r="B17" t="s">
        <v>57</v>
      </c>
      <c r="C17" t="s">
        <v>43</v>
      </c>
      <c r="D17">
        <v>42</v>
      </c>
      <c r="E17" t="s">
        <v>1052</v>
      </c>
      <c r="F17" t="s">
        <v>1053</v>
      </c>
      <c r="G17" t="s">
        <v>1035</v>
      </c>
      <c r="H17">
        <v>0</v>
      </c>
      <c r="I17" s="3" t="s">
        <v>31</v>
      </c>
      <c r="J17" s="3">
        <v>30</v>
      </c>
      <c r="K17">
        <v>1.2</v>
      </c>
      <c r="L17" t="b">
        <v>0</v>
      </c>
      <c r="M17" s="4">
        <v>0.69</v>
      </c>
      <c r="O17" s="3" t="s">
        <v>1038</v>
      </c>
      <c r="P17" t="s">
        <v>1032</v>
      </c>
      <c r="Q17" s="3">
        <v>5</v>
      </c>
      <c r="R17">
        <v>2</v>
      </c>
    </row>
    <row r="18" spans="1:18" x14ac:dyDescent="0.25">
      <c r="A18" t="s">
        <v>58</v>
      </c>
      <c r="B18" t="s">
        <v>59</v>
      </c>
      <c r="C18" t="s">
        <v>20</v>
      </c>
      <c r="D18">
        <v>39</v>
      </c>
      <c r="E18" t="s">
        <v>1026</v>
      </c>
      <c r="F18" t="s">
        <v>1027</v>
      </c>
      <c r="G18" t="s">
        <v>1054</v>
      </c>
      <c r="H18">
        <v>13</v>
      </c>
      <c r="I18" s="3" t="s">
        <v>31</v>
      </c>
      <c r="J18" s="3">
        <v>30</v>
      </c>
      <c r="K18">
        <v>2.4</v>
      </c>
      <c r="L18" t="b">
        <v>0</v>
      </c>
      <c r="M18" s="4">
        <v>0.6</v>
      </c>
      <c r="O18" s="3" t="s">
        <v>1046</v>
      </c>
      <c r="P18" t="s">
        <v>1042</v>
      </c>
      <c r="Q18" s="3">
        <v>7</v>
      </c>
      <c r="R18">
        <v>1</v>
      </c>
    </row>
    <row r="19" spans="1:18" x14ac:dyDescent="0.25">
      <c r="A19" t="s">
        <v>60</v>
      </c>
      <c r="B19" t="s">
        <v>61</v>
      </c>
      <c r="C19" t="s">
        <v>43</v>
      </c>
      <c r="D19">
        <v>56</v>
      </c>
      <c r="E19" t="s">
        <v>1055</v>
      </c>
      <c r="F19" t="s">
        <v>1056</v>
      </c>
      <c r="G19" t="s">
        <v>1023</v>
      </c>
      <c r="H19">
        <v>10</v>
      </c>
      <c r="J19" s="3">
        <v>52</v>
      </c>
      <c r="K19">
        <v>2.4</v>
      </c>
      <c r="L19" t="b">
        <v>0</v>
      </c>
      <c r="M19" s="4">
        <v>0.87</v>
      </c>
      <c r="O19" s="3" t="s">
        <v>1045</v>
      </c>
      <c r="P19" t="s">
        <v>1029</v>
      </c>
      <c r="Q19" s="3">
        <v>1</v>
      </c>
      <c r="R19">
        <v>2</v>
      </c>
    </row>
    <row r="20" spans="1:18" x14ac:dyDescent="0.25">
      <c r="A20" t="s">
        <v>62</v>
      </c>
      <c r="B20" t="s">
        <v>63</v>
      </c>
      <c r="C20" t="s">
        <v>43</v>
      </c>
      <c r="D20">
        <v>56</v>
      </c>
      <c r="E20" t="s">
        <v>40</v>
      </c>
      <c r="F20" t="s">
        <v>1027</v>
      </c>
      <c r="G20" t="s">
        <v>1049</v>
      </c>
      <c r="H20">
        <v>31</v>
      </c>
      <c r="I20" s="3" t="s">
        <v>64</v>
      </c>
      <c r="J20" s="3">
        <v>50</v>
      </c>
      <c r="K20">
        <v>1.1000000000000001</v>
      </c>
      <c r="L20" t="b">
        <v>0</v>
      </c>
      <c r="M20" s="4">
        <v>0.75</v>
      </c>
      <c r="O20" s="3" t="s">
        <v>1038</v>
      </c>
      <c r="P20" t="s">
        <v>1029</v>
      </c>
      <c r="Q20" s="3">
        <v>13</v>
      </c>
      <c r="R20">
        <v>3</v>
      </c>
    </row>
    <row r="21" spans="1:18" x14ac:dyDescent="0.25">
      <c r="A21" t="s">
        <v>65</v>
      </c>
      <c r="B21" t="s">
        <v>66</v>
      </c>
      <c r="C21" t="s">
        <v>43</v>
      </c>
      <c r="D21">
        <v>57</v>
      </c>
      <c r="E21" t="s">
        <v>1021</v>
      </c>
      <c r="F21" t="s">
        <v>1022</v>
      </c>
      <c r="G21" t="s">
        <v>1033</v>
      </c>
      <c r="H21">
        <v>3</v>
      </c>
      <c r="I21" s="3" t="s">
        <v>21</v>
      </c>
      <c r="J21" s="3">
        <v>100</v>
      </c>
      <c r="K21">
        <v>1.8</v>
      </c>
      <c r="L21" t="b">
        <v>1</v>
      </c>
      <c r="M21" s="4">
        <v>0.68</v>
      </c>
      <c r="O21" s="3" t="s">
        <v>1046</v>
      </c>
      <c r="P21" t="s">
        <v>1029</v>
      </c>
      <c r="Q21" s="3">
        <v>1</v>
      </c>
      <c r="R21">
        <v>1</v>
      </c>
    </row>
    <row r="22" spans="1:18" x14ac:dyDescent="0.25">
      <c r="A22" t="s">
        <v>67</v>
      </c>
      <c r="B22" t="s">
        <v>68</v>
      </c>
      <c r="C22" t="s">
        <v>43</v>
      </c>
      <c r="D22">
        <v>41</v>
      </c>
      <c r="E22" t="s">
        <v>1039</v>
      </c>
      <c r="F22" t="s">
        <v>1040</v>
      </c>
      <c r="G22" t="s">
        <v>30</v>
      </c>
      <c r="H22">
        <v>9</v>
      </c>
      <c r="I22" s="3">
        <v>50</v>
      </c>
      <c r="J22" s="3">
        <v>50</v>
      </c>
      <c r="K22">
        <v>1.8</v>
      </c>
      <c r="L22" t="b">
        <v>0</v>
      </c>
      <c r="M22" s="4">
        <v>0.65</v>
      </c>
      <c r="O22" s="3" t="s">
        <v>1024</v>
      </c>
      <c r="P22" t="s">
        <v>1042</v>
      </c>
      <c r="Q22" s="3">
        <v>15</v>
      </c>
      <c r="R22">
        <v>6</v>
      </c>
    </row>
    <row r="23" spans="1:18" x14ac:dyDescent="0.25">
      <c r="A23" t="s">
        <v>69</v>
      </c>
      <c r="B23" t="s">
        <v>70</v>
      </c>
      <c r="C23" t="s">
        <v>43</v>
      </c>
      <c r="D23">
        <v>51</v>
      </c>
      <c r="E23" t="s">
        <v>1052</v>
      </c>
      <c r="F23" t="s">
        <v>1053</v>
      </c>
      <c r="G23" t="s">
        <v>1054</v>
      </c>
      <c r="H23">
        <v>10</v>
      </c>
      <c r="J23" s="3">
        <v>52</v>
      </c>
      <c r="K23">
        <v>2.4</v>
      </c>
      <c r="L23" t="b">
        <v>0</v>
      </c>
      <c r="M23" s="4">
        <v>0.69</v>
      </c>
      <c r="O23" s="3" t="s">
        <v>1038</v>
      </c>
      <c r="P23" t="s">
        <v>1029</v>
      </c>
      <c r="Q23" s="3">
        <v>3</v>
      </c>
      <c r="R23">
        <v>5</v>
      </c>
    </row>
    <row r="24" spans="1:18" x14ac:dyDescent="0.25">
      <c r="A24" t="s">
        <v>71</v>
      </c>
      <c r="B24" t="s">
        <v>72</v>
      </c>
      <c r="C24" t="s">
        <v>43</v>
      </c>
      <c r="D24">
        <v>51</v>
      </c>
      <c r="E24" t="s">
        <v>1057</v>
      </c>
      <c r="F24" t="s">
        <v>1058</v>
      </c>
      <c r="G24" t="s">
        <v>1050</v>
      </c>
      <c r="H24">
        <v>21</v>
      </c>
      <c r="I24" s="3" t="s">
        <v>73</v>
      </c>
      <c r="J24" s="3">
        <v>30</v>
      </c>
      <c r="K24">
        <v>4.7</v>
      </c>
      <c r="L24" t="b">
        <v>0</v>
      </c>
      <c r="M24" s="2"/>
      <c r="O24" s="3" t="s">
        <v>1046</v>
      </c>
      <c r="P24" t="s">
        <v>1042</v>
      </c>
      <c r="Q24" s="3">
        <v>14</v>
      </c>
      <c r="R24">
        <v>2</v>
      </c>
    </row>
    <row r="25" spans="1:18" x14ac:dyDescent="0.25">
      <c r="A25" t="s">
        <v>74</v>
      </c>
      <c r="B25" t="s">
        <v>75</v>
      </c>
      <c r="C25" t="s">
        <v>20</v>
      </c>
      <c r="D25">
        <v>51</v>
      </c>
      <c r="E25" t="s">
        <v>1051</v>
      </c>
      <c r="F25" t="s">
        <v>1059</v>
      </c>
      <c r="G25" t="s">
        <v>1035</v>
      </c>
      <c r="H25">
        <v>15</v>
      </c>
      <c r="I25" s="3" t="s">
        <v>44</v>
      </c>
      <c r="J25" s="3">
        <v>50</v>
      </c>
      <c r="K25">
        <v>1.3</v>
      </c>
      <c r="L25" t="b">
        <v>1</v>
      </c>
      <c r="M25" s="4">
        <v>1</v>
      </c>
      <c r="O25" s="3" t="s">
        <v>1045</v>
      </c>
      <c r="P25" t="s">
        <v>1029</v>
      </c>
      <c r="Q25" s="3">
        <v>9</v>
      </c>
      <c r="R25">
        <v>3</v>
      </c>
    </row>
    <row r="26" spans="1:18" x14ac:dyDescent="0.25">
      <c r="A26" t="s">
        <v>76</v>
      </c>
      <c r="B26" t="s">
        <v>77</v>
      </c>
      <c r="C26" t="s">
        <v>20</v>
      </c>
      <c r="D26">
        <v>54</v>
      </c>
      <c r="E26" t="s">
        <v>1039</v>
      </c>
      <c r="F26" t="s">
        <v>1040</v>
      </c>
      <c r="G26" t="s">
        <v>1035</v>
      </c>
      <c r="H26">
        <v>13</v>
      </c>
      <c r="I26" s="3">
        <v>75</v>
      </c>
      <c r="J26" s="3">
        <v>75</v>
      </c>
      <c r="K26">
        <v>2.9</v>
      </c>
      <c r="L26" t="b">
        <v>0</v>
      </c>
      <c r="M26" s="2">
        <v>92</v>
      </c>
      <c r="O26" s="3" t="s">
        <v>1045</v>
      </c>
      <c r="P26" t="s">
        <v>1042</v>
      </c>
      <c r="Q26" s="3">
        <v>15</v>
      </c>
      <c r="R26">
        <v>3</v>
      </c>
    </row>
    <row r="27" spans="1:18" x14ac:dyDescent="0.25">
      <c r="A27" t="s">
        <v>78</v>
      </c>
      <c r="B27" t="s">
        <v>79</v>
      </c>
      <c r="C27" t="s">
        <v>20</v>
      </c>
      <c r="D27">
        <v>22</v>
      </c>
      <c r="E27" t="s">
        <v>1051</v>
      </c>
      <c r="F27" t="s">
        <v>1059</v>
      </c>
      <c r="G27" t="s">
        <v>1054</v>
      </c>
      <c r="H27">
        <v>0</v>
      </c>
      <c r="I27" s="3" t="s">
        <v>73</v>
      </c>
      <c r="J27" s="3">
        <v>30</v>
      </c>
      <c r="K27">
        <v>1.2</v>
      </c>
      <c r="L27" t="b">
        <v>1</v>
      </c>
      <c r="M27" s="4">
        <v>0.7</v>
      </c>
      <c r="O27" s="3" t="s">
        <v>1038</v>
      </c>
      <c r="P27" t="s">
        <v>1025</v>
      </c>
      <c r="Q27" s="3">
        <v>5</v>
      </c>
      <c r="R27">
        <v>2</v>
      </c>
    </row>
    <row r="28" spans="1:18" x14ac:dyDescent="0.25">
      <c r="A28" t="s">
        <v>80</v>
      </c>
      <c r="B28" t="s">
        <v>81</v>
      </c>
      <c r="C28" t="s">
        <v>20</v>
      </c>
      <c r="D28">
        <v>34</v>
      </c>
      <c r="E28" t="s">
        <v>1052</v>
      </c>
      <c r="F28" t="s">
        <v>1053</v>
      </c>
      <c r="G28" t="s">
        <v>1023</v>
      </c>
      <c r="H28">
        <v>8</v>
      </c>
      <c r="I28" s="3" t="s">
        <v>82</v>
      </c>
      <c r="J28" s="3">
        <v>20</v>
      </c>
      <c r="K28">
        <v>0</v>
      </c>
      <c r="L28" t="b">
        <v>1</v>
      </c>
      <c r="M28" s="4">
        <v>0.89</v>
      </c>
      <c r="O28" s="3" t="s">
        <v>1046</v>
      </c>
      <c r="P28" t="s">
        <v>1025</v>
      </c>
      <c r="Q28" s="3">
        <v>6</v>
      </c>
      <c r="R28">
        <v>1</v>
      </c>
    </row>
    <row r="29" spans="1:18" x14ac:dyDescent="0.25">
      <c r="A29" t="s">
        <v>83</v>
      </c>
      <c r="B29" t="s">
        <v>84</v>
      </c>
      <c r="C29" t="s">
        <v>20</v>
      </c>
      <c r="D29">
        <v>36</v>
      </c>
      <c r="E29" t="s">
        <v>1060</v>
      </c>
      <c r="F29" t="s">
        <v>1061</v>
      </c>
      <c r="G29" t="s">
        <v>1031</v>
      </c>
      <c r="H29">
        <v>11</v>
      </c>
      <c r="J29" s="3">
        <v>52</v>
      </c>
      <c r="K29">
        <v>1.8</v>
      </c>
      <c r="L29" t="b">
        <v>1</v>
      </c>
      <c r="M29" s="4">
        <v>0.86</v>
      </c>
      <c r="O29" s="3" t="s">
        <v>1038</v>
      </c>
      <c r="P29" t="s">
        <v>1025</v>
      </c>
      <c r="Q29" s="3">
        <v>12</v>
      </c>
      <c r="R29">
        <v>4</v>
      </c>
    </row>
    <row r="30" spans="1:18" x14ac:dyDescent="0.25">
      <c r="A30" t="s">
        <v>85</v>
      </c>
      <c r="B30" t="s">
        <v>86</v>
      </c>
      <c r="C30" t="s">
        <v>20</v>
      </c>
      <c r="D30">
        <v>47</v>
      </c>
      <c r="E30" t="s">
        <v>1062</v>
      </c>
      <c r="F30" t="s">
        <v>1027</v>
      </c>
      <c r="G30" t="s">
        <v>30</v>
      </c>
      <c r="H30">
        <v>22</v>
      </c>
      <c r="I30" s="3">
        <v>30</v>
      </c>
      <c r="J30" s="3">
        <v>30</v>
      </c>
      <c r="K30">
        <v>1.3</v>
      </c>
      <c r="L30" t="b">
        <v>0</v>
      </c>
      <c r="M30" s="4">
        <v>0.62</v>
      </c>
      <c r="O30" s="3" t="s">
        <v>1038</v>
      </c>
      <c r="P30" t="s">
        <v>1025</v>
      </c>
      <c r="Q30" s="3">
        <v>14</v>
      </c>
      <c r="R30">
        <v>2</v>
      </c>
    </row>
    <row r="31" spans="1:18" x14ac:dyDescent="0.25">
      <c r="A31" t="s">
        <v>87</v>
      </c>
      <c r="B31" t="s">
        <v>88</v>
      </c>
      <c r="C31" t="s">
        <v>20</v>
      </c>
      <c r="D31">
        <v>41</v>
      </c>
      <c r="E31" t="s">
        <v>1036</v>
      </c>
      <c r="F31" t="s">
        <v>1037</v>
      </c>
      <c r="G31" t="s">
        <v>1041</v>
      </c>
      <c r="H31">
        <v>14</v>
      </c>
      <c r="I31" s="3" t="s">
        <v>34</v>
      </c>
      <c r="J31" s="3">
        <v>75</v>
      </c>
      <c r="K31">
        <v>1.2</v>
      </c>
      <c r="L31" t="b">
        <v>0</v>
      </c>
      <c r="M31" s="2"/>
      <c r="O31" s="3" t="s">
        <v>1046</v>
      </c>
      <c r="P31" t="s">
        <v>1025</v>
      </c>
      <c r="Q31" s="3">
        <v>6</v>
      </c>
      <c r="R31">
        <v>5</v>
      </c>
    </row>
    <row r="32" spans="1:18" x14ac:dyDescent="0.25">
      <c r="A32" t="s">
        <v>89</v>
      </c>
      <c r="B32" t="s">
        <v>90</v>
      </c>
      <c r="C32" t="s">
        <v>43</v>
      </c>
      <c r="D32">
        <v>22</v>
      </c>
      <c r="E32" t="s">
        <v>1036</v>
      </c>
      <c r="F32" t="s">
        <v>1037</v>
      </c>
      <c r="G32" t="s">
        <v>1054</v>
      </c>
      <c r="H32">
        <v>4</v>
      </c>
      <c r="J32" s="3">
        <v>52</v>
      </c>
      <c r="K32">
        <v>1</v>
      </c>
      <c r="L32" t="b">
        <v>1</v>
      </c>
      <c r="M32" s="2"/>
      <c r="O32" s="3" t="s">
        <v>1046</v>
      </c>
      <c r="P32" t="s">
        <v>1029</v>
      </c>
      <c r="Q32" s="3">
        <v>3</v>
      </c>
      <c r="R32">
        <v>1</v>
      </c>
    </row>
    <row r="33" spans="1:18" x14ac:dyDescent="0.25">
      <c r="A33" t="s">
        <v>91</v>
      </c>
      <c r="B33" t="s">
        <v>92</v>
      </c>
      <c r="C33" t="s">
        <v>43</v>
      </c>
      <c r="D33">
        <v>38</v>
      </c>
      <c r="E33" t="s">
        <v>1063</v>
      </c>
      <c r="F33" t="s">
        <v>1064</v>
      </c>
      <c r="G33" t="s">
        <v>1035</v>
      </c>
      <c r="H33">
        <v>19</v>
      </c>
      <c r="I33" s="3" t="s">
        <v>21</v>
      </c>
      <c r="J33" s="3">
        <v>100</v>
      </c>
      <c r="K33">
        <v>4.2</v>
      </c>
      <c r="L33" t="b">
        <v>0</v>
      </c>
      <c r="M33" s="4">
        <v>0.68</v>
      </c>
      <c r="O33" s="3" t="s">
        <v>1024</v>
      </c>
      <c r="P33" t="s">
        <v>1029</v>
      </c>
      <c r="Q33" s="3">
        <v>10</v>
      </c>
      <c r="R33">
        <v>10</v>
      </c>
    </row>
    <row r="34" spans="1:18" x14ac:dyDescent="0.25">
      <c r="A34" t="s">
        <v>93</v>
      </c>
      <c r="B34" t="s">
        <v>94</v>
      </c>
      <c r="C34" t="s">
        <v>43</v>
      </c>
      <c r="D34">
        <v>46</v>
      </c>
      <c r="E34" t="s">
        <v>1065</v>
      </c>
      <c r="F34" t="s">
        <v>1066</v>
      </c>
      <c r="G34" t="s">
        <v>30</v>
      </c>
      <c r="H34">
        <v>9</v>
      </c>
      <c r="I34" s="3">
        <v>20</v>
      </c>
      <c r="J34" s="3">
        <v>20</v>
      </c>
      <c r="K34">
        <v>1.4</v>
      </c>
      <c r="L34" t="b">
        <v>1</v>
      </c>
      <c r="M34" s="4">
        <v>0.76</v>
      </c>
      <c r="O34" s="3" t="s">
        <v>1046</v>
      </c>
      <c r="P34" t="s">
        <v>1029</v>
      </c>
      <c r="Q34" s="3">
        <v>13</v>
      </c>
      <c r="R34">
        <v>6</v>
      </c>
    </row>
    <row r="35" spans="1:18" x14ac:dyDescent="0.25">
      <c r="A35" t="s">
        <v>95</v>
      </c>
      <c r="B35" t="s">
        <v>96</v>
      </c>
      <c r="C35" t="s">
        <v>43</v>
      </c>
      <c r="D35">
        <v>41</v>
      </c>
      <c r="E35" t="s">
        <v>1051</v>
      </c>
      <c r="F35" t="s">
        <v>1059</v>
      </c>
      <c r="G35" t="s">
        <v>30</v>
      </c>
      <c r="H35">
        <v>9</v>
      </c>
      <c r="I35" s="3">
        <v>40</v>
      </c>
      <c r="J35" s="3">
        <v>40</v>
      </c>
      <c r="K35">
        <v>2.4</v>
      </c>
      <c r="L35" t="b">
        <v>1</v>
      </c>
      <c r="M35" s="2">
        <v>82</v>
      </c>
      <c r="O35" s="3" t="s">
        <v>1045</v>
      </c>
      <c r="P35" t="s">
        <v>1042</v>
      </c>
      <c r="Q35" s="3">
        <v>15</v>
      </c>
      <c r="R35">
        <v>3</v>
      </c>
    </row>
    <row r="36" spans="1:18" x14ac:dyDescent="0.25">
      <c r="A36" t="s">
        <v>97</v>
      </c>
      <c r="B36" t="s">
        <v>98</v>
      </c>
      <c r="C36" t="s">
        <v>20</v>
      </c>
      <c r="D36">
        <v>54</v>
      </c>
      <c r="E36" t="s">
        <v>40</v>
      </c>
      <c r="F36" t="s">
        <v>1027</v>
      </c>
      <c r="G36" t="s">
        <v>1033</v>
      </c>
      <c r="H36">
        <v>32</v>
      </c>
      <c r="I36" s="3">
        <v>75</v>
      </c>
      <c r="J36" s="3">
        <v>75</v>
      </c>
      <c r="K36">
        <v>1</v>
      </c>
      <c r="L36" t="b">
        <v>1</v>
      </c>
      <c r="M36" s="4">
        <v>0.81</v>
      </c>
      <c r="O36" s="3" t="s">
        <v>1038</v>
      </c>
      <c r="P36" t="s">
        <v>1042</v>
      </c>
      <c r="Q36" s="3">
        <v>18</v>
      </c>
      <c r="R36">
        <v>10</v>
      </c>
    </row>
    <row r="37" spans="1:18" x14ac:dyDescent="0.25">
      <c r="A37" t="s">
        <v>99</v>
      </c>
      <c r="B37" t="s">
        <v>100</v>
      </c>
      <c r="C37" t="s">
        <v>20</v>
      </c>
      <c r="D37">
        <v>52</v>
      </c>
      <c r="E37" t="s">
        <v>1051</v>
      </c>
      <c r="F37" t="s">
        <v>1059</v>
      </c>
      <c r="G37" t="s">
        <v>1035</v>
      </c>
      <c r="H37">
        <v>28</v>
      </c>
      <c r="I37" s="3" t="s">
        <v>82</v>
      </c>
      <c r="J37" s="3">
        <v>20</v>
      </c>
      <c r="K37">
        <v>2.4</v>
      </c>
      <c r="L37" t="b">
        <v>0</v>
      </c>
      <c r="M37" s="2"/>
      <c r="O37" s="3" t="s">
        <v>1038</v>
      </c>
      <c r="P37" t="s">
        <v>1042</v>
      </c>
      <c r="Q37" s="3">
        <v>18</v>
      </c>
      <c r="R37">
        <v>2</v>
      </c>
    </row>
    <row r="38" spans="1:18" x14ac:dyDescent="0.25">
      <c r="A38" t="s">
        <v>101</v>
      </c>
      <c r="B38" t="s">
        <v>102</v>
      </c>
      <c r="C38" t="s">
        <v>20</v>
      </c>
      <c r="D38">
        <v>42</v>
      </c>
      <c r="E38" t="s">
        <v>1052</v>
      </c>
      <c r="F38" t="s">
        <v>1053</v>
      </c>
      <c r="G38" t="s">
        <v>1028</v>
      </c>
      <c r="H38">
        <v>6</v>
      </c>
      <c r="I38" s="3">
        <v>40</v>
      </c>
      <c r="J38" s="3">
        <v>40</v>
      </c>
      <c r="K38">
        <v>2.4</v>
      </c>
      <c r="L38" t="b">
        <v>0</v>
      </c>
      <c r="M38" s="4">
        <v>0.63</v>
      </c>
      <c r="O38" s="3" t="s">
        <v>1045</v>
      </c>
      <c r="P38" t="s">
        <v>1042</v>
      </c>
      <c r="Q38" s="3">
        <v>15</v>
      </c>
      <c r="R38">
        <v>6</v>
      </c>
    </row>
    <row r="39" spans="1:18" x14ac:dyDescent="0.25">
      <c r="A39" t="s">
        <v>103</v>
      </c>
      <c r="B39" t="s">
        <v>104</v>
      </c>
      <c r="C39" t="s">
        <v>20</v>
      </c>
      <c r="D39">
        <v>29</v>
      </c>
      <c r="E39" t="s">
        <v>1036</v>
      </c>
      <c r="F39" t="s">
        <v>1037</v>
      </c>
      <c r="G39" t="s">
        <v>1031</v>
      </c>
      <c r="H39">
        <v>10</v>
      </c>
      <c r="I39" s="3">
        <v>40</v>
      </c>
      <c r="J39" s="3">
        <v>40</v>
      </c>
      <c r="K39">
        <v>2.2000000000000002</v>
      </c>
      <c r="L39" t="b">
        <v>0</v>
      </c>
      <c r="M39" s="4">
        <v>0.67</v>
      </c>
      <c r="O39" s="3" t="s">
        <v>1046</v>
      </c>
      <c r="P39" t="s">
        <v>1025</v>
      </c>
      <c r="Q39" s="3">
        <v>10</v>
      </c>
      <c r="R39">
        <v>9</v>
      </c>
    </row>
    <row r="40" spans="1:18" x14ac:dyDescent="0.25">
      <c r="A40" t="s">
        <v>105</v>
      </c>
      <c r="B40" t="s">
        <v>106</v>
      </c>
      <c r="C40" t="s">
        <v>20</v>
      </c>
      <c r="D40">
        <v>42</v>
      </c>
      <c r="E40" t="s">
        <v>1067</v>
      </c>
      <c r="F40" t="s">
        <v>1068</v>
      </c>
      <c r="G40" t="s">
        <v>1028</v>
      </c>
      <c r="H40">
        <v>23</v>
      </c>
      <c r="I40" s="3">
        <v>50</v>
      </c>
      <c r="J40" s="3">
        <v>50</v>
      </c>
      <c r="K40">
        <v>3.2</v>
      </c>
      <c r="L40" t="b">
        <v>1</v>
      </c>
      <c r="M40" s="2"/>
      <c r="O40" s="3" t="s">
        <v>1045</v>
      </c>
      <c r="P40" t="s">
        <v>1025</v>
      </c>
      <c r="Q40" s="3">
        <v>13</v>
      </c>
      <c r="R40">
        <v>3</v>
      </c>
    </row>
    <row r="41" spans="1:18" x14ac:dyDescent="0.25">
      <c r="A41" t="s">
        <v>107</v>
      </c>
      <c r="B41" t="s">
        <v>108</v>
      </c>
      <c r="C41" t="s">
        <v>43</v>
      </c>
      <c r="D41">
        <v>60</v>
      </c>
      <c r="E41" t="s">
        <v>1052</v>
      </c>
      <c r="F41" t="s">
        <v>1053</v>
      </c>
      <c r="G41" t="s">
        <v>1033</v>
      </c>
      <c r="H41">
        <v>13</v>
      </c>
      <c r="I41" s="3" t="s">
        <v>82</v>
      </c>
      <c r="J41" s="3">
        <v>20</v>
      </c>
      <c r="K41">
        <v>3.6</v>
      </c>
      <c r="L41" t="b">
        <v>0</v>
      </c>
      <c r="M41" s="4">
        <v>0.8</v>
      </c>
      <c r="O41" s="3" t="s">
        <v>1045</v>
      </c>
      <c r="P41" t="s">
        <v>1025</v>
      </c>
      <c r="Q41" s="3">
        <v>9</v>
      </c>
      <c r="R41">
        <v>3</v>
      </c>
    </row>
    <row r="42" spans="1:18" x14ac:dyDescent="0.25">
      <c r="A42" t="s">
        <v>109</v>
      </c>
      <c r="B42" t="s">
        <v>110</v>
      </c>
      <c r="C42" t="s">
        <v>20</v>
      </c>
      <c r="D42">
        <v>59</v>
      </c>
      <c r="E42" t="s">
        <v>47</v>
      </c>
      <c r="F42" t="s">
        <v>1027</v>
      </c>
      <c r="G42" t="s">
        <v>30</v>
      </c>
      <c r="H42">
        <v>3</v>
      </c>
      <c r="I42" s="3" t="s">
        <v>64</v>
      </c>
      <c r="J42" s="3">
        <v>50</v>
      </c>
      <c r="K42">
        <v>0</v>
      </c>
      <c r="L42" t="s">
        <v>111</v>
      </c>
      <c r="M42" s="2"/>
      <c r="O42" s="3" t="s">
        <v>1024</v>
      </c>
      <c r="P42" t="s">
        <v>1032</v>
      </c>
      <c r="Q42" s="3">
        <v>3</v>
      </c>
      <c r="R42">
        <v>1</v>
      </c>
    </row>
    <row r="43" spans="1:18" x14ac:dyDescent="0.25">
      <c r="A43" t="s">
        <v>112</v>
      </c>
      <c r="B43" t="s">
        <v>113</v>
      </c>
      <c r="C43" t="s">
        <v>20</v>
      </c>
      <c r="D43">
        <v>21</v>
      </c>
      <c r="E43" t="s">
        <v>1062</v>
      </c>
      <c r="F43" t="s">
        <v>1027</v>
      </c>
      <c r="G43" t="s">
        <v>1033</v>
      </c>
      <c r="H43">
        <v>0</v>
      </c>
      <c r="I43" s="3">
        <v>30</v>
      </c>
      <c r="J43" s="3">
        <v>30</v>
      </c>
      <c r="K43">
        <v>2.7</v>
      </c>
      <c r="L43" t="b">
        <v>1</v>
      </c>
      <c r="M43" s="4">
        <v>0.84</v>
      </c>
      <c r="O43" s="3" t="s">
        <v>1045</v>
      </c>
      <c r="P43" t="s">
        <v>1029</v>
      </c>
      <c r="Q43" s="3">
        <v>5</v>
      </c>
      <c r="R43">
        <v>1</v>
      </c>
    </row>
    <row r="44" spans="1:18" x14ac:dyDescent="0.25">
      <c r="A44" t="s">
        <v>114</v>
      </c>
      <c r="B44" t="s">
        <v>115</v>
      </c>
      <c r="C44" t="s">
        <v>20</v>
      </c>
      <c r="D44">
        <v>35</v>
      </c>
      <c r="E44" t="s">
        <v>1030</v>
      </c>
      <c r="F44" t="s">
        <v>1030</v>
      </c>
      <c r="G44" t="s">
        <v>1054</v>
      </c>
      <c r="H44">
        <v>10</v>
      </c>
      <c r="I44" s="3" t="s">
        <v>44</v>
      </c>
      <c r="J44" s="3">
        <v>50</v>
      </c>
      <c r="K44">
        <v>0</v>
      </c>
      <c r="L44" t="s">
        <v>111</v>
      </c>
      <c r="M44" s="2"/>
      <c r="O44" s="3" t="s">
        <v>1038</v>
      </c>
      <c r="P44" t="s">
        <v>1042</v>
      </c>
      <c r="Q44" s="3">
        <v>7</v>
      </c>
      <c r="R44">
        <v>6</v>
      </c>
    </row>
    <row r="45" spans="1:18" x14ac:dyDescent="0.25">
      <c r="A45" t="s">
        <v>116</v>
      </c>
      <c r="B45" t="s">
        <v>117</v>
      </c>
      <c r="C45" t="s">
        <v>43</v>
      </c>
      <c r="D45">
        <v>41</v>
      </c>
      <c r="E45" t="s">
        <v>47</v>
      </c>
      <c r="F45" t="s">
        <v>1027</v>
      </c>
      <c r="G45" t="s">
        <v>1041</v>
      </c>
      <c r="H45">
        <v>10</v>
      </c>
      <c r="I45" s="3">
        <v>20</v>
      </c>
      <c r="J45" s="3">
        <v>20</v>
      </c>
      <c r="K45">
        <v>2.8</v>
      </c>
      <c r="L45" t="b">
        <v>1</v>
      </c>
      <c r="M45" s="4">
        <v>0.63</v>
      </c>
      <c r="O45" s="3" t="s">
        <v>1045</v>
      </c>
      <c r="P45" t="s">
        <v>1042</v>
      </c>
      <c r="Q45" s="3">
        <v>1</v>
      </c>
      <c r="R45">
        <v>1</v>
      </c>
    </row>
    <row r="46" spans="1:18" x14ac:dyDescent="0.25">
      <c r="A46" t="s">
        <v>118</v>
      </c>
      <c r="B46" t="s">
        <v>119</v>
      </c>
      <c r="C46" t="s">
        <v>20</v>
      </c>
      <c r="D46">
        <v>51</v>
      </c>
      <c r="E46" t="s">
        <v>1036</v>
      </c>
      <c r="F46" t="s">
        <v>1037</v>
      </c>
      <c r="G46" t="s">
        <v>1035</v>
      </c>
      <c r="H46">
        <v>23</v>
      </c>
      <c r="I46" s="3">
        <v>20</v>
      </c>
      <c r="J46" s="3">
        <v>20</v>
      </c>
      <c r="K46">
        <v>2.4</v>
      </c>
      <c r="L46" t="b">
        <v>0</v>
      </c>
      <c r="M46" s="4">
        <v>0.8</v>
      </c>
      <c r="O46" s="3" t="s">
        <v>1038</v>
      </c>
      <c r="P46" t="s">
        <v>1025</v>
      </c>
      <c r="Q46" s="3">
        <v>17</v>
      </c>
      <c r="R46">
        <v>15</v>
      </c>
    </row>
    <row r="47" spans="1:18" x14ac:dyDescent="0.25">
      <c r="A47" t="s">
        <v>120</v>
      </c>
      <c r="B47" t="s">
        <v>121</v>
      </c>
      <c r="C47" t="s">
        <v>43</v>
      </c>
      <c r="D47">
        <v>41</v>
      </c>
      <c r="E47" t="s">
        <v>1067</v>
      </c>
      <c r="F47" t="s">
        <v>1068</v>
      </c>
      <c r="G47" t="s">
        <v>1033</v>
      </c>
      <c r="H47">
        <v>9</v>
      </c>
      <c r="I47" s="3" t="s">
        <v>122</v>
      </c>
      <c r="J47" s="3">
        <v>75</v>
      </c>
      <c r="K47">
        <v>4.9000000000000004</v>
      </c>
      <c r="L47" t="b">
        <v>1</v>
      </c>
      <c r="M47" s="4">
        <v>0.74</v>
      </c>
      <c r="O47" s="3" t="s">
        <v>1038</v>
      </c>
      <c r="P47" t="s">
        <v>1042</v>
      </c>
      <c r="Q47" s="3">
        <v>13</v>
      </c>
      <c r="R47">
        <v>8</v>
      </c>
    </row>
    <row r="48" spans="1:18" x14ac:dyDescent="0.25">
      <c r="A48" t="s">
        <v>123</v>
      </c>
      <c r="B48" t="s">
        <v>124</v>
      </c>
      <c r="C48" t="s">
        <v>20</v>
      </c>
      <c r="D48">
        <v>47</v>
      </c>
      <c r="E48" t="s">
        <v>1065</v>
      </c>
      <c r="F48" t="s">
        <v>1066</v>
      </c>
      <c r="G48" t="s">
        <v>1054</v>
      </c>
      <c r="H48">
        <v>15</v>
      </c>
      <c r="I48" s="3" t="s">
        <v>73</v>
      </c>
      <c r="J48" s="3">
        <v>30</v>
      </c>
      <c r="K48">
        <v>4.5</v>
      </c>
      <c r="L48" t="b">
        <v>1</v>
      </c>
      <c r="M48" s="4">
        <v>0.85</v>
      </c>
      <c r="O48" s="3" t="s">
        <v>1038</v>
      </c>
      <c r="P48" t="s">
        <v>1042</v>
      </c>
      <c r="Q48" s="3">
        <v>12</v>
      </c>
      <c r="R48">
        <v>4</v>
      </c>
    </row>
    <row r="49" spans="1:18" x14ac:dyDescent="0.25">
      <c r="A49" t="s">
        <v>125</v>
      </c>
      <c r="B49" t="s">
        <v>126</v>
      </c>
      <c r="C49" t="s">
        <v>43</v>
      </c>
      <c r="D49">
        <v>25</v>
      </c>
      <c r="E49" t="s">
        <v>1069</v>
      </c>
      <c r="F49" t="s">
        <v>1070</v>
      </c>
      <c r="G49" t="s">
        <v>1031</v>
      </c>
      <c r="H49">
        <v>4</v>
      </c>
      <c r="I49" s="3">
        <v>50</v>
      </c>
      <c r="J49" s="3">
        <v>50</v>
      </c>
      <c r="K49">
        <v>2.7</v>
      </c>
      <c r="L49" t="b">
        <v>0</v>
      </c>
      <c r="M49" s="4">
        <v>0.77</v>
      </c>
      <c r="O49" s="3" t="s">
        <v>1046</v>
      </c>
      <c r="P49" t="s">
        <v>1029</v>
      </c>
      <c r="Q49" s="3">
        <v>4</v>
      </c>
      <c r="R49">
        <v>3</v>
      </c>
    </row>
    <row r="50" spans="1:18" x14ac:dyDescent="0.25">
      <c r="A50" t="s">
        <v>127</v>
      </c>
      <c r="B50" t="s">
        <v>128</v>
      </c>
      <c r="C50" t="s">
        <v>20</v>
      </c>
      <c r="D50">
        <v>25</v>
      </c>
      <c r="E50" t="s">
        <v>1071</v>
      </c>
      <c r="F50" t="s">
        <v>1048</v>
      </c>
      <c r="G50" t="s">
        <v>1028</v>
      </c>
      <c r="H50">
        <v>7</v>
      </c>
      <c r="I50" s="3">
        <v>20</v>
      </c>
      <c r="J50" s="3">
        <v>20</v>
      </c>
      <c r="K50">
        <v>1.9</v>
      </c>
      <c r="L50" t="b">
        <v>0</v>
      </c>
      <c r="M50" s="2"/>
      <c r="O50" s="3" t="s">
        <v>1024</v>
      </c>
      <c r="P50" t="s">
        <v>1025</v>
      </c>
      <c r="Q50" s="3">
        <v>12</v>
      </c>
      <c r="R50">
        <v>10</v>
      </c>
    </row>
    <row r="51" spans="1:18" x14ac:dyDescent="0.25">
      <c r="A51" t="s">
        <v>129</v>
      </c>
      <c r="B51" t="s">
        <v>130</v>
      </c>
      <c r="C51" t="s">
        <v>43</v>
      </c>
      <c r="D51">
        <v>29</v>
      </c>
      <c r="E51" t="s">
        <v>1051</v>
      </c>
      <c r="F51" t="s">
        <v>1037</v>
      </c>
      <c r="G51" t="s">
        <v>1049</v>
      </c>
      <c r="H51">
        <v>1</v>
      </c>
      <c r="I51" s="3">
        <v>20</v>
      </c>
      <c r="J51" s="3">
        <v>20</v>
      </c>
      <c r="K51">
        <v>1.4</v>
      </c>
      <c r="L51" t="b">
        <v>1</v>
      </c>
      <c r="M51" s="4">
        <v>0.63</v>
      </c>
      <c r="O51" s="3" t="s">
        <v>1038</v>
      </c>
      <c r="P51" t="s">
        <v>1029</v>
      </c>
      <c r="Q51" s="3">
        <v>2</v>
      </c>
      <c r="R51">
        <v>1</v>
      </c>
    </row>
    <row r="52" spans="1:18" x14ac:dyDescent="0.25">
      <c r="A52" t="s">
        <v>131</v>
      </c>
      <c r="B52" t="s">
        <v>132</v>
      </c>
      <c r="C52" t="s">
        <v>20</v>
      </c>
      <c r="D52">
        <v>23</v>
      </c>
      <c r="E52" t="s">
        <v>1047</v>
      </c>
      <c r="F52" t="s">
        <v>1048</v>
      </c>
      <c r="G52" t="s">
        <v>1050</v>
      </c>
      <c r="H52">
        <v>0</v>
      </c>
      <c r="I52" s="3">
        <v>75</v>
      </c>
      <c r="J52" s="3">
        <v>75</v>
      </c>
      <c r="K52">
        <v>1.9</v>
      </c>
      <c r="L52" t="b">
        <v>1</v>
      </c>
      <c r="M52" s="4">
        <v>0.79</v>
      </c>
      <c r="O52" s="3" t="s">
        <v>1038</v>
      </c>
      <c r="P52" t="s">
        <v>1032</v>
      </c>
      <c r="Q52" s="3">
        <v>2</v>
      </c>
      <c r="R52">
        <v>5</v>
      </c>
    </row>
    <row r="53" spans="1:18" x14ac:dyDescent="0.25">
      <c r="A53" t="s">
        <v>133</v>
      </c>
      <c r="B53" t="s">
        <v>134</v>
      </c>
      <c r="C53" t="s">
        <v>43</v>
      </c>
      <c r="D53">
        <v>31</v>
      </c>
      <c r="E53" t="s">
        <v>1063</v>
      </c>
      <c r="F53" t="s">
        <v>1064</v>
      </c>
      <c r="G53" t="s">
        <v>1041</v>
      </c>
      <c r="H53">
        <v>8</v>
      </c>
      <c r="I53" s="3">
        <v>50</v>
      </c>
      <c r="J53" s="3">
        <v>50</v>
      </c>
      <c r="K53">
        <v>3.4</v>
      </c>
      <c r="L53" t="b">
        <v>0</v>
      </c>
      <c r="M53" s="2"/>
      <c r="O53" s="3" t="s">
        <v>1046</v>
      </c>
      <c r="P53" t="s">
        <v>1032</v>
      </c>
      <c r="Q53" s="3">
        <v>11</v>
      </c>
      <c r="R53">
        <v>3</v>
      </c>
    </row>
    <row r="54" spans="1:18" x14ac:dyDescent="0.25">
      <c r="A54" t="s">
        <v>135</v>
      </c>
      <c r="B54" t="s">
        <v>136</v>
      </c>
      <c r="C54" t="s">
        <v>43</v>
      </c>
      <c r="D54">
        <v>51</v>
      </c>
      <c r="E54" t="s">
        <v>1030</v>
      </c>
      <c r="F54" t="s">
        <v>1030</v>
      </c>
      <c r="G54" t="s">
        <v>1035</v>
      </c>
      <c r="H54">
        <v>33</v>
      </c>
      <c r="I54" s="3">
        <v>75</v>
      </c>
      <c r="J54" s="3">
        <v>75</v>
      </c>
      <c r="K54">
        <v>3.3</v>
      </c>
      <c r="L54" t="b">
        <v>0</v>
      </c>
      <c r="M54" s="4">
        <v>0.68</v>
      </c>
      <c r="O54" s="3" t="s">
        <v>1038</v>
      </c>
      <c r="P54" t="s">
        <v>1032</v>
      </c>
      <c r="Q54" s="3">
        <v>17</v>
      </c>
      <c r="R54">
        <v>8</v>
      </c>
    </row>
    <row r="55" spans="1:18" x14ac:dyDescent="0.25">
      <c r="A55" t="s">
        <v>137</v>
      </c>
      <c r="B55" t="s">
        <v>138</v>
      </c>
      <c r="C55" t="s">
        <v>43</v>
      </c>
      <c r="D55">
        <v>41</v>
      </c>
      <c r="E55" t="s">
        <v>1072</v>
      </c>
      <c r="F55" t="s">
        <v>1048</v>
      </c>
      <c r="G55" t="s">
        <v>1049</v>
      </c>
      <c r="H55">
        <v>1</v>
      </c>
      <c r="I55" s="3">
        <v>30</v>
      </c>
      <c r="J55" s="3">
        <v>30</v>
      </c>
      <c r="K55">
        <v>0</v>
      </c>
      <c r="L55" t="b">
        <v>0</v>
      </c>
      <c r="M55" s="4">
        <v>0.68</v>
      </c>
      <c r="O55" s="3" t="s">
        <v>1045</v>
      </c>
      <c r="P55" t="s">
        <v>1025</v>
      </c>
      <c r="Q55" s="3">
        <v>1</v>
      </c>
      <c r="R55">
        <v>2</v>
      </c>
    </row>
    <row r="56" spans="1:18" x14ac:dyDescent="0.25">
      <c r="A56" t="s">
        <v>139</v>
      </c>
      <c r="B56" t="s">
        <v>140</v>
      </c>
      <c r="C56" t="s">
        <v>20</v>
      </c>
      <c r="D56">
        <v>29</v>
      </c>
      <c r="E56" t="s">
        <v>1043</v>
      </c>
      <c r="F56" t="s">
        <v>1044</v>
      </c>
      <c r="G56" t="s">
        <v>1050</v>
      </c>
      <c r="H56">
        <v>11</v>
      </c>
      <c r="I56" s="3">
        <v>100</v>
      </c>
      <c r="J56" s="3">
        <v>100</v>
      </c>
      <c r="K56">
        <v>2.2999999999999998</v>
      </c>
      <c r="L56" t="b">
        <v>1</v>
      </c>
      <c r="M56" s="4">
        <v>0.72</v>
      </c>
      <c r="O56" s="3" t="s">
        <v>1045</v>
      </c>
      <c r="P56" t="s">
        <v>1042</v>
      </c>
      <c r="Q56" s="3">
        <v>7</v>
      </c>
      <c r="R56">
        <v>7</v>
      </c>
    </row>
    <row r="57" spans="1:18" x14ac:dyDescent="0.25">
      <c r="A57" t="s">
        <v>141</v>
      </c>
      <c r="B57" t="s">
        <v>142</v>
      </c>
      <c r="C57" t="s">
        <v>43</v>
      </c>
      <c r="D57">
        <v>50</v>
      </c>
      <c r="E57" t="s">
        <v>47</v>
      </c>
      <c r="F57" t="s">
        <v>1027</v>
      </c>
      <c r="G57" t="s">
        <v>30</v>
      </c>
      <c r="H57">
        <v>15</v>
      </c>
      <c r="J57" s="3">
        <v>52</v>
      </c>
      <c r="K57">
        <v>2</v>
      </c>
      <c r="L57" t="b">
        <v>1</v>
      </c>
      <c r="M57" s="4">
        <v>0.65</v>
      </c>
      <c r="O57" s="3" t="s">
        <v>1024</v>
      </c>
      <c r="P57" t="s">
        <v>1025</v>
      </c>
      <c r="Q57" s="3">
        <v>7</v>
      </c>
      <c r="R57">
        <v>7</v>
      </c>
    </row>
    <row r="58" spans="1:18" x14ac:dyDescent="0.25">
      <c r="A58" t="s">
        <v>143</v>
      </c>
      <c r="B58" t="s">
        <v>144</v>
      </c>
      <c r="C58" t="s">
        <v>20</v>
      </c>
      <c r="D58">
        <v>26</v>
      </c>
      <c r="E58" t="s">
        <v>47</v>
      </c>
      <c r="F58" t="s">
        <v>1027</v>
      </c>
      <c r="G58" t="s">
        <v>1054</v>
      </c>
      <c r="H58">
        <v>8</v>
      </c>
      <c r="I58" s="3">
        <v>50</v>
      </c>
      <c r="J58" s="3">
        <v>50</v>
      </c>
      <c r="K58">
        <v>1.3</v>
      </c>
      <c r="L58" t="b">
        <v>0</v>
      </c>
      <c r="M58" s="4">
        <v>0.76</v>
      </c>
      <c r="O58" s="3" t="s">
        <v>1038</v>
      </c>
      <c r="P58" t="s">
        <v>1025</v>
      </c>
      <c r="Q58" s="3">
        <v>7</v>
      </c>
      <c r="R58">
        <v>5</v>
      </c>
    </row>
    <row r="59" spans="1:18" x14ac:dyDescent="0.25">
      <c r="A59" t="s">
        <v>145</v>
      </c>
      <c r="B59" t="s">
        <v>146</v>
      </c>
      <c r="C59" t="s">
        <v>43</v>
      </c>
      <c r="D59">
        <v>38</v>
      </c>
      <c r="E59" t="s">
        <v>1062</v>
      </c>
      <c r="F59" t="s">
        <v>1027</v>
      </c>
      <c r="G59" t="s">
        <v>30</v>
      </c>
      <c r="H59">
        <v>17</v>
      </c>
      <c r="I59" s="3" t="s">
        <v>37</v>
      </c>
      <c r="J59" s="3">
        <v>40</v>
      </c>
      <c r="K59">
        <v>4</v>
      </c>
      <c r="L59" t="b">
        <v>1</v>
      </c>
      <c r="M59" s="4">
        <v>0.9</v>
      </c>
      <c r="O59" s="3" t="s">
        <v>1046</v>
      </c>
      <c r="P59" t="s">
        <v>1042</v>
      </c>
      <c r="Q59" s="3">
        <v>16</v>
      </c>
      <c r="R59">
        <v>11</v>
      </c>
    </row>
    <row r="60" spans="1:18" x14ac:dyDescent="0.25">
      <c r="A60" t="s">
        <v>147</v>
      </c>
      <c r="B60" t="s">
        <v>148</v>
      </c>
      <c r="C60" t="s">
        <v>20</v>
      </c>
      <c r="D60">
        <v>23</v>
      </c>
      <c r="E60" t="s">
        <v>1055</v>
      </c>
      <c r="F60" t="s">
        <v>1056</v>
      </c>
      <c r="G60" t="s">
        <v>1028</v>
      </c>
      <c r="H60">
        <v>10</v>
      </c>
      <c r="I60" s="3">
        <v>75</v>
      </c>
      <c r="J60" s="3">
        <v>75</v>
      </c>
      <c r="K60">
        <v>3.6</v>
      </c>
      <c r="L60" t="b">
        <v>1</v>
      </c>
      <c r="M60" s="4">
        <v>0.65</v>
      </c>
      <c r="O60" s="3" t="s">
        <v>1045</v>
      </c>
      <c r="P60" t="s">
        <v>1029</v>
      </c>
      <c r="Q60" s="3">
        <v>2</v>
      </c>
      <c r="R60">
        <v>4</v>
      </c>
    </row>
    <row r="61" spans="1:18" x14ac:dyDescent="0.25">
      <c r="A61" t="s">
        <v>149</v>
      </c>
      <c r="B61" t="s">
        <v>150</v>
      </c>
      <c r="C61" t="s">
        <v>20</v>
      </c>
      <c r="D61">
        <v>51</v>
      </c>
      <c r="E61" t="s">
        <v>1067</v>
      </c>
      <c r="F61" t="s">
        <v>1068</v>
      </c>
      <c r="G61" t="s">
        <v>1054</v>
      </c>
      <c r="H61">
        <v>28</v>
      </c>
      <c r="I61" s="3">
        <v>40</v>
      </c>
      <c r="J61" s="3">
        <v>40</v>
      </c>
      <c r="K61">
        <v>3.9</v>
      </c>
      <c r="L61" t="b">
        <v>0</v>
      </c>
      <c r="M61" s="4">
        <v>0.63</v>
      </c>
      <c r="O61" s="3" t="s">
        <v>1046</v>
      </c>
      <c r="P61" t="s">
        <v>1032</v>
      </c>
      <c r="Q61" s="3">
        <v>13</v>
      </c>
      <c r="R61">
        <v>6</v>
      </c>
    </row>
    <row r="62" spans="1:18" x14ac:dyDescent="0.25">
      <c r="A62" t="s">
        <v>151</v>
      </c>
      <c r="B62" t="s">
        <v>152</v>
      </c>
      <c r="C62" t="s">
        <v>20</v>
      </c>
      <c r="D62">
        <v>51</v>
      </c>
      <c r="E62" t="s">
        <v>1039</v>
      </c>
      <c r="F62" t="s">
        <v>1040</v>
      </c>
      <c r="G62" t="s">
        <v>30</v>
      </c>
      <c r="H62">
        <v>33</v>
      </c>
      <c r="I62" s="3" t="s">
        <v>122</v>
      </c>
      <c r="J62" s="3">
        <v>75</v>
      </c>
      <c r="K62">
        <v>0</v>
      </c>
      <c r="L62" t="b">
        <v>1</v>
      </c>
      <c r="M62" s="2"/>
      <c r="O62" s="3" t="s">
        <v>1046</v>
      </c>
      <c r="P62" t="s">
        <v>1029</v>
      </c>
      <c r="Q62" s="3">
        <v>14</v>
      </c>
      <c r="R62">
        <v>8</v>
      </c>
    </row>
    <row r="63" spans="1:18" x14ac:dyDescent="0.25">
      <c r="A63" t="s">
        <v>153</v>
      </c>
      <c r="B63" t="s">
        <v>154</v>
      </c>
      <c r="C63" t="s">
        <v>43</v>
      </c>
      <c r="D63">
        <v>47</v>
      </c>
      <c r="E63" t="s">
        <v>1030</v>
      </c>
      <c r="F63" t="s">
        <v>1030</v>
      </c>
      <c r="G63" t="s">
        <v>30</v>
      </c>
      <c r="H63">
        <v>18</v>
      </c>
      <c r="I63" s="3">
        <v>75</v>
      </c>
      <c r="J63" s="3">
        <v>75</v>
      </c>
      <c r="K63">
        <v>0</v>
      </c>
      <c r="L63" t="b">
        <v>0</v>
      </c>
      <c r="M63" s="2"/>
      <c r="O63" s="3" t="s">
        <v>1045</v>
      </c>
      <c r="P63" t="s">
        <v>1032</v>
      </c>
      <c r="Q63" s="3">
        <v>11</v>
      </c>
      <c r="R63">
        <v>8</v>
      </c>
    </row>
    <row r="64" spans="1:18" x14ac:dyDescent="0.25">
      <c r="A64" t="s">
        <v>155</v>
      </c>
      <c r="B64" t="s">
        <v>156</v>
      </c>
      <c r="C64" t="s">
        <v>20</v>
      </c>
      <c r="D64">
        <v>34</v>
      </c>
      <c r="E64" t="s">
        <v>1060</v>
      </c>
      <c r="F64" t="s">
        <v>1061</v>
      </c>
      <c r="G64" t="s">
        <v>1049</v>
      </c>
      <c r="H64">
        <v>16</v>
      </c>
      <c r="I64" s="3" t="s">
        <v>82</v>
      </c>
      <c r="J64" s="3">
        <v>20</v>
      </c>
      <c r="K64">
        <v>2.2999999999999998</v>
      </c>
      <c r="L64" t="b">
        <v>1</v>
      </c>
      <c r="M64" s="4">
        <v>0.93</v>
      </c>
      <c r="O64" s="3" t="s">
        <v>1046</v>
      </c>
      <c r="P64" t="s">
        <v>1025</v>
      </c>
      <c r="Q64" s="3">
        <v>15</v>
      </c>
      <c r="R64">
        <v>5</v>
      </c>
    </row>
    <row r="65" spans="1:18" x14ac:dyDescent="0.25">
      <c r="A65" t="s">
        <v>157</v>
      </c>
      <c r="B65" t="s">
        <v>158</v>
      </c>
      <c r="C65" t="s">
        <v>20</v>
      </c>
      <c r="D65">
        <v>58</v>
      </c>
      <c r="E65" t="s">
        <v>1039</v>
      </c>
      <c r="F65" t="s">
        <v>1040</v>
      </c>
      <c r="G65" t="s">
        <v>1041</v>
      </c>
      <c r="H65">
        <v>35</v>
      </c>
      <c r="I65" s="3" t="s">
        <v>64</v>
      </c>
      <c r="J65" s="3">
        <v>50</v>
      </c>
      <c r="K65">
        <v>4.7</v>
      </c>
      <c r="L65" t="s">
        <v>111</v>
      </c>
      <c r="M65" s="4">
        <v>0.7</v>
      </c>
      <c r="O65" s="3" t="s">
        <v>1045</v>
      </c>
      <c r="P65" t="s">
        <v>1032</v>
      </c>
      <c r="Q65" s="3">
        <v>17</v>
      </c>
      <c r="R65">
        <v>13</v>
      </c>
    </row>
    <row r="66" spans="1:18" x14ac:dyDescent="0.25">
      <c r="A66" t="s">
        <v>159</v>
      </c>
      <c r="B66" t="s">
        <v>160</v>
      </c>
      <c r="C66" t="s">
        <v>20</v>
      </c>
      <c r="D66">
        <v>50</v>
      </c>
      <c r="E66" t="s">
        <v>1060</v>
      </c>
      <c r="F66" t="s">
        <v>1061</v>
      </c>
      <c r="G66" t="s">
        <v>30</v>
      </c>
      <c r="H66">
        <v>14</v>
      </c>
      <c r="J66" s="3">
        <v>52</v>
      </c>
      <c r="K66">
        <v>3.5</v>
      </c>
      <c r="L66" t="b">
        <v>1</v>
      </c>
      <c r="M66" s="4">
        <v>0.83</v>
      </c>
      <c r="O66" s="3" t="s">
        <v>1046</v>
      </c>
      <c r="P66" t="s">
        <v>1025</v>
      </c>
      <c r="Q66" s="3">
        <v>13</v>
      </c>
      <c r="R66">
        <v>8</v>
      </c>
    </row>
    <row r="67" spans="1:18" x14ac:dyDescent="0.25">
      <c r="A67" t="s">
        <v>161</v>
      </c>
      <c r="B67" t="s">
        <v>162</v>
      </c>
      <c r="C67" t="s">
        <v>20</v>
      </c>
      <c r="D67">
        <v>34</v>
      </c>
      <c r="E67" t="s">
        <v>1072</v>
      </c>
      <c r="F67" t="s">
        <v>1048</v>
      </c>
      <c r="G67" t="s">
        <v>1033</v>
      </c>
      <c r="H67">
        <v>12</v>
      </c>
      <c r="I67" s="3">
        <v>40</v>
      </c>
      <c r="J67" s="3">
        <v>40</v>
      </c>
      <c r="K67">
        <v>2.4</v>
      </c>
      <c r="L67" t="b">
        <v>1</v>
      </c>
      <c r="M67" s="2">
        <v>64</v>
      </c>
      <c r="O67" s="3" t="s">
        <v>1045</v>
      </c>
      <c r="P67" t="s">
        <v>1029</v>
      </c>
      <c r="Q67" s="3">
        <v>14</v>
      </c>
      <c r="R67">
        <v>12</v>
      </c>
    </row>
    <row r="68" spans="1:18" x14ac:dyDescent="0.25">
      <c r="A68" t="s">
        <v>163</v>
      </c>
      <c r="B68" t="s">
        <v>164</v>
      </c>
      <c r="C68" t="s">
        <v>20</v>
      </c>
      <c r="D68">
        <v>45</v>
      </c>
      <c r="E68" t="s">
        <v>1057</v>
      </c>
      <c r="F68" t="s">
        <v>1058</v>
      </c>
      <c r="G68" t="s">
        <v>30</v>
      </c>
      <c r="H68">
        <v>11</v>
      </c>
      <c r="I68" s="3" t="s">
        <v>34</v>
      </c>
      <c r="J68" s="3">
        <v>75</v>
      </c>
      <c r="K68">
        <v>4</v>
      </c>
      <c r="L68" t="b">
        <v>0</v>
      </c>
      <c r="M68" s="4">
        <v>1</v>
      </c>
      <c r="O68" s="3" t="s">
        <v>1038</v>
      </c>
      <c r="P68" t="s">
        <v>1025</v>
      </c>
      <c r="Q68" s="3">
        <v>9</v>
      </c>
      <c r="R68">
        <v>2</v>
      </c>
    </row>
    <row r="69" spans="1:18" x14ac:dyDescent="0.25">
      <c r="A69" t="s">
        <v>165</v>
      </c>
      <c r="B69" t="s">
        <v>166</v>
      </c>
      <c r="C69" t="s">
        <v>20</v>
      </c>
      <c r="D69">
        <v>55</v>
      </c>
      <c r="E69" t="s">
        <v>1057</v>
      </c>
      <c r="F69" t="s">
        <v>1058</v>
      </c>
      <c r="G69" t="s">
        <v>1033</v>
      </c>
      <c r="H69">
        <v>0</v>
      </c>
      <c r="I69" s="3" t="s">
        <v>26</v>
      </c>
      <c r="J69" s="3">
        <v>40</v>
      </c>
      <c r="K69">
        <v>0</v>
      </c>
      <c r="L69" t="b">
        <v>1</v>
      </c>
      <c r="M69" s="2"/>
      <c r="O69" s="3" t="s">
        <v>1024</v>
      </c>
      <c r="P69" t="s">
        <v>1029</v>
      </c>
      <c r="Q69" s="3">
        <v>5</v>
      </c>
      <c r="R69">
        <v>5</v>
      </c>
    </row>
    <row r="70" spans="1:18" x14ac:dyDescent="0.25">
      <c r="A70" t="s">
        <v>167</v>
      </c>
      <c r="B70" t="s">
        <v>168</v>
      </c>
      <c r="C70" t="s">
        <v>43</v>
      </c>
      <c r="D70">
        <v>41</v>
      </c>
      <c r="E70" t="s">
        <v>1047</v>
      </c>
      <c r="F70" t="s">
        <v>1048</v>
      </c>
      <c r="G70" t="s">
        <v>1049</v>
      </c>
      <c r="H70">
        <v>6</v>
      </c>
      <c r="I70" s="3">
        <v>100</v>
      </c>
      <c r="J70" s="3">
        <v>100</v>
      </c>
      <c r="K70">
        <v>1.5</v>
      </c>
      <c r="L70" t="b">
        <v>0</v>
      </c>
      <c r="M70" s="2"/>
      <c r="O70" s="3" t="s">
        <v>1045</v>
      </c>
      <c r="P70" t="s">
        <v>1042</v>
      </c>
      <c r="Q70" s="3">
        <v>8</v>
      </c>
      <c r="R70">
        <v>2</v>
      </c>
    </row>
    <row r="71" spans="1:18" x14ac:dyDescent="0.25">
      <c r="A71" t="s">
        <v>169</v>
      </c>
      <c r="B71" t="s">
        <v>170</v>
      </c>
      <c r="C71" t="s">
        <v>20</v>
      </c>
      <c r="D71">
        <v>60</v>
      </c>
      <c r="E71" t="s">
        <v>1069</v>
      </c>
      <c r="F71" t="s">
        <v>1070</v>
      </c>
      <c r="G71" t="s">
        <v>1049</v>
      </c>
      <c r="H71">
        <v>38</v>
      </c>
      <c r="I71" s="3" t="s">
        <v>82</v>
      </c>
      <c r="J71" s="3">
        <v>20</v>
      </c>
      <c r="K71">
        <v>2</v>
      </c>
      <c r="L71" t="s">
        <v>111</v>
      </c>
      <c r="M71" s="4">
        <v>0.71</v>
      </c>
      <c r="O71" s="3" t="s">
        <v>1045</v>
      </c>
      <c r="P71" t="s">
        <v>1042</v>
      </c>
      <c r="Q71" s="3">
        <v>19</v>
      </c>
      <c r="R71">
        <v>7</v>
      </c>
    </row>
    <row r="72" spans="1:18" x14ac:dyDescent="0.25">
      <c r="A72" t="s">
        <v>171</v>
      </c>
      <c r="B72" t="s">
        <v>172</v>
      </c>
      <c r="C72" t="s">
        <v>20</v>
      </c>
      <c r="D72">
        <v>33</v>
      </c>
      <c r="E72" t="s">
        <v>1067</v>
      </c>
      <c r="F72" t="s">
        <v>1068</v>
      </c>
      <c r="G72" t="s">
        <v>1028</v>
      </c>
      <c r="H72">
        <v>11</v>
      </c>
      <c r="J72" s="3">
        <v>52</v>
      </c>
      <c r="K72">
        <v>2.4</v>
      </c>
      <c r="L72" t="b">
        <v>1</v>
      </c>
      <c r="M72" s="4">
        <v>0.84</v>
      </c>
      <c r="O72" s="3" t="s">
        <v>1024</v>
      </c>
      <c r="P72" t="s">
        <v>1042</v>
      </c>
      <c r="Q72" s="3">
        <v>6</v>
      </c>
      <c r="R72">
        <v>3</v>
      </c>
    </row>
    <row r="73" spans="1:18" x14ac:dyDescent="0.25">
      <c r="A73" t="s">
        <v>173</v>
      </c>
      <c r="B73" t="s">
        <v>174</v>
      </c>
      <c r="C73" t="s">
        <v>43</v>
      </c>
      <c r="D73">
        <v>60</v>
      </c>
      <c r="E73" t="s">
        <v>1021</v>
      </c>
      <c r="F73" t="s">
        <v>1022</v>
      </c>
      <c r="G73" t="s">
        <v>1054</v>
      </c>
      <c r="H73">
        <v>13</v>
      </c>
      <c r="I73" s="3" t="s">
        <v>64</v>
      </c>
      <c r="J73" s="3">
        <v>50</v>
      </c>
      <c r="K73">
        <v>1</v>
      </c>
      <c r="L73" t="b">
        <v>0</v>
      </c>
      <c r="M73" s="2"/>
      <c r="O73" s="3" t="s">
        <v>1045</v>
      </c>
      <c r="P73" t="s">
        <v>1025</v>
      </c>
      <c r="Q73" s="3">
        <v>15</v>
      </c>
      <c r="R73">
        <v>1</v>
      </c>
    </row>
    <row r="74" spans="1:18" x14ac:dyDescent="0.25">
      <c r="A74" t="s">
        <v>175</v>
      </c>
      <c r="B74" t="s">
        <v>176</v>
      </c>
      <c r="C74" t="s">
        <v>43</v>
      </c>
      <c r="D74">
        <v>40</v>
      </c>
      <c r="E74" t="s">
        <v>40</v>
      </c>
      <c r="F74" t="s">
        <v>1027</v>
      </c>
      <c r="G74" t="s">
        <v>1033</v>
      </c>
      <c r="H74">
        <v>9</v>
      </c>
      <c r="I74" s="3" t="s">
        <v>177</v>
      </c>
      <c r="J74" s="3">
        <v>100</v>
      </c>
      <c r="K74">
        <v>4.5</v>
      </c>
      <c r="L74" t="b">
        <v>1</v>
      </c>
      <c r="M74" s="4">
        <v>0.69</v>
      </c>
      <c r="O74" s="3" t="s">
        <v>1045</v>
      </c>
      <c r="P74" t="s">
        <v>1042</v>
      </c>
      <c r="Q74" s="3">
        <v>11</v>
      </c>
      <c r="R74">
        <v>10</v>
      </c>
    </row>
    <row r="75" spans="1:18" x14ac:dyDescent="0.25">
      <c r="A75" t="s">
        <v>178</v>
      </c>
      <c r="B75" t="s">
        <v>179</v>
      </c>
      <c r="C75" t="s">
        <v>43</v>
      </c>
      <c r="D75">
        <v>59</v>
      </c>
      <c r="E75" t="s">
        <v>1026</v>
      </c>
      <c r="F75" t="s">
        <v>1027</v>
      </c>
      <c r="G75" t="s">
        <v>1023</v>
      </c>
      <c r="H75">
        <v>4</v>
      </c>
      <c r="J75" s="3">
        <v>52</v>
      </c>
      <c r="K75">
        <v>1.9</v>
      </c>
      <c r="L75" t="b">
        <v>0</v>
      </c>
      <c r="M75" s="2">
        <v>88</v>
      </c>
      <c r="O75" s="3" t="s">
        <v>1046</v>
      </c>
      <c r="P75" t="s">
        <v>1032</v>
      </c>
      <c r="Q75" s="3">
        <v>5</v>
      </c>
      <c r="R75">
        <v>1</v>
      </c>
    </row>
    <row r="76" spans="1:18" x14ac:dyDescent="0.25">
      <c r="A76" t="s">
        <v>180</v>
      </c>
      <c r="B76" t="s">
        <v>181</v>
      </c>
      <c r="C76" t="s">
        <v>43</v>
      </c>
      <c r="D76">
        <v>36</v>
      </c>
      <c r="E76" t="s">
        <v>1051</v>
      </c>
      <c r="F76" t="s">
        <v>1022</v>
      </c>
      <c r="G76" t="s">
        <v>1035</v>
      </c>
      <c r="H76">
        <v>14</v>
      </c>
      <c r="I76" s="3" t="s">
        <v>177</v>
      </c>
      <c r="J76" s="3">
        <v>100</v>
      </c>
      <c r="K76">
        <v>3.7</v>
      </c>
      <c r="L76" t="b">
        <v>0</v>
      </c>
      <c r="M76" s="2"/>
      <c r="O76" s="3" t="s">
        <v>1024</v>
      </c>
      <c r="P76" t="s">
        <v>1029</v>
      </c>
      <c r="Q76" s="3">
        <v>9</v>
      </c>
      <c r="R76">
        <v>5</v>
      </c>
    </row>
    <row r="77" spans="1:18" x14ac:dyDescent="0.25">
      <c r="A77" t="s">
        <v>182</v>
      </c>
      <c r="B77" t="s">
        <v>183</v>
      </c>
      <c r="C77" t="s">
        <v>43</v>
      </c>
      <c r="D77">
        <v>32</v>
      </c>
      <c r="E77" t="s">
        <v>1055</v>
      </c>
      <c r="F77" t="s">
        <v>1056</v>
      </c>
      <c r="G77" t="s">
        <v>1041</v>
      </c>
      <c r="H77">
        <v>10</v>
      </c>
      <c r="I77" s="3">
        <v>30</v>
      </c>
      <c r="J77" s="3">
        <v>30</v>
      </c>
      <c r="K77">
        <v>1.9</v>
      </c>
      <c r="L77" t="b">
        <v>1</v>
      </c>
      <c r="M77" s="4">
        <v>0.96</v>
      </c>
      <c r="O77" s="3" t="s">
        <v>1038</v>
      </c>
      <c r="P77" t="s">
        <v>1029</v>
      </c>
      <c r="Q77" s="3">
        <v>2</v>
      </c>
      <c r="R77">
        <v>2</v>
      </c>
    </row>
    <row r="78" spans="1:18" x14ac:dyDescent="0.25">
      <c r="A78" t="s">
        <v>184</v>
      </c>
      <c r="B78" t="s">
        <v>185</v>
      </c>
      <c r="C78" t="s">
        <v>43</v>
      </c>
      <c r="D78">
        <v>59</v>
      </c>
      <c r="E78" t="s">
        <v>1026</v>
      </c>
      <c r="F78" t="s">
        <v>1027</v>
      </c>
      <c r="G78" t="s">
        <v>30</v>
      </c>
      <c r="H78">
        <v>9</v>
      </c>
      <c r="I78" s="3" t="s">
        <v>34</v>
      </c>
      <c r="J78" s="3">
        <v>75</v>
      </c>
      <c r="K78">
        <v>4</v>
      </c>
      <c r="L78" t="b">
        <v>1</v>
      </c>
      <c r="M78" s="2">
        <v>96</v>
      </c>
      <c r="O78" s="3" t="s">
        <v>1045</v>
      </c>
      <c r="P78" t="s">
        <v>1032</v>
      </c>
      <c r="Q78" s="3">
        <v>14</v>
      </c>
      <c r="R78">
        <v>5</v>
      </c>
    </row>
    <row r="79" spans="1:18" x14ac:dyDescent="0.25">
      <c r="A79" t="s">
        <v>186</v>
      </c>
      <c r="B79" t="s">
        <v>187</v>
      </c>
      <c r="C79" t="s">
        <v>20</v>
      </c>
      <c r="D79">
        <v>54</v>
      </c>
      <c r="E79" t="s">
        <v>1072</v>
      </c>
      <c r="F79" t="s">
        <v>1048</v>
      </c>
      <c r="G79" t="s">
        <v>1054</v>
      </c>
      <c r="H79">
        <v>32</v>
      </c>
      <c r="I79" s="3" t="s">
        <v>37</v>
      </c>
      <c r="J79" s="3">
        <v>40</v>
      </c>
      <c r="K79">
        <v>1.8</v>
      </c>
      <c r="L79" t="b">
        <v>0</v>
      </c>
      <c r="M79" s="2"/>
      <c r="O79" s="3" t="s">
        <v>1024</v>
      </c>
      <c r="P79" t="s">
        <v>1025</v>
      </c>
      <c r="Q79" s="3">
        <v>10</v>
      </c>
      <c r="R79">
        <v>7</v>
      </c>
    </row>
    <row r="80" spans="1:18" x14ac:dyDescent="0.25">
      <c r="A80" t="s">
        <v>188</v>
      </c>
      <c r="B80" t="s">
        <v>189</v>
      </c>
      <c r="C80" t="s">
        <v>20</v>
      </c>
      <c r="D80">
        <v>37</v>
      </c>
      <c r="E80" t="s">
        <v>1062</v>
      </c>
      <c r="F80" t="s">
        <v>1027</v>
      </c>
      <c r="G80" t="s">
        <v>1031</v>
      </c>
      <c r="H80">
        <v>9</v>
      </c>
      <c r="J80" s="3">
        <v>52</v>
      </c>
      <c r="K80">
        <v>0</v>
      </c>
      <c r="L80" t="b">
        <v>1</v>
      </c>
      <c r="M80" s="4">
        <v>0.89</v>
      </c>
      <c r="O80" s="3" t="s">
        <v>1046</v>
      </c>
      <c r="P80" t="s">
        <v>1025</v>
      </c>
      <c r="Q80" s="3">
        <v>14</v>
      </c>
      <c r="R80">
        <v>6</v>
      </c>
    </row>
    <row r="81" spans="1:18" x14ac:dyDescent="0.25">
      <c r="A81" t="s">
        <v>190</v>
      </c>
      <c r="B81" t="s">
        <v>191</v>
      </c>
      <c r="C81" t="s">
        <v>43</v>
      </c>
      <c r="D81">
        <v>54</v>
      </c>
      <c r="E81" t="s">
        <v>1055</v>
      </c>
      <c r="F81" t="s">
        <v>1056</v>
      </c>
      <c r="G81" t="s">
        <v>1035</v>
      </c>
      <c r="H81">
        <v>21</v>
      </c>
      <c r="I81" s="3" t="s">
        <v>177</v>
      </c>
      <c r="J81" s="3">
        <v>100</v>
      </c>
      <c r="K81">
        <v>4.5999999999999996</v>
      </c>
      <c r="L81" t="b">
        <v>0</v>
      </c>
      <c r="M81" s="2"/>
      <c r="O81" s="3" t="s">
        <v>1038</v>
      </c>
      <c r="P81" t="s">
        <v>1029</v>
      </c>
      <c r="Q81" s="3">
        <v>20</v>
      </c>
      <c r="R81">
        <v>3</v>
      </c>
    </row>
    <row r="82" spans="1:18" x14ac:dyDescent="0.25">
      <c r="A82" t="s">
        <v>192</v>
      </c>
      <c r="B82" t="s">
        <v>193</v>
      </c>
      <c r="C82" t="s">
        <v>20</v>
      </c>
      <c r="D82">
        <v>33</v>
      </c>
      <c r="E82" t="s">
        <v>1047</v>
      </c>
      <c r="F82" t="s">
        <v>1048</v>
      </c>
      <c r="G82" t="s">
        <v>1049</v>
      </c>
      <c r="H82">
        <v>12</v>
      </c>
      <c r="I82" s="3">
        <v>100</v>
      </c>
      <c r="J82" s="3">
        <v>100</v>
      </c>
      <c r="K82">
        <v>3.6</v>
      </c>
      <c r="L82" t="b">
        <v>0</v>
      </c>
      <c r="M82" s="4">
        <v>0.63</v>
      </c>
      <c r="O82" s="3" t="s">
        <v>1024</v>
      </c>
      <c r="P82" t="s">
        <v>1042</v>
      </c>
      <c r="Q82" s="3">
        <v>10</v>
      </c>
      <c r="R82">
        <v>2</v>
      </c>
    </row>
    <row r="83" spans="1:18" x14ac:dyDescent="0.25">
      <c r="A83" t="s">
        <v>194</v>
      </c>
      <c r="B83" t="s">
        <v>195</v>
      </c>
      <c r="C83" t="s">
        <v>20</v>
      </c>
      <c r="D83">
        <v>25</v>
      </c>
      <c r="E83" t="s">
        <v>1065</v>
      </c>
      <c r="F83" t="s">
        <v>1066</v>
      </c>
      <c r="G83" t="s">
        <v>1033</v>
      </c>
      <c r="H83">
        <v>7</v>
      </c>
      <c r="I83" s="3" t="s">
        <v>37</v>
      </c>
      <c r="J83" s="3">
        <v>40</v>
      </c>
      <c r="K83">
        <v>4.4000000000000004</v>
      </c>
      <c r="L83" t="b">
        <v>0</v>
      </c>
      <c r="M83" s="2">
        <v>81</v>
      </c>
      <c r="O83" s="3" t="s">
        <v>1038</v>
      </c>
      <c r="P83" t="s">
        <v>1025</v>
      </c>
      <c r="Q83" s="3">
        <v>11</v>
      </c>
      <c r="R83">
        <v>8</v>
      </c>
    </row>
    <row r="84" spans="1:18" x14ac:dyDescent="0.25">
      <c r="A84" t="s">
        <v>196</v>
      </c>
      <c r="B84" t="s">
        <v>197</v>
      </c>
      <c r="C84" t="s">
        <v>43</v>
      </c>
      <c r="D84">
        <v>41</v>
      </c>
      <c r="E84" t="s">
        <v>1069</v>
      </c>
      <c r="F84" t="s">
        <v>1070</v>
      </c>
      <c r="G84" t="s">
        <v>1054</v>
      </c>
      <c r="H84">
        <v>3</v>
      </c>
      <c r="I84" s="3">
        <v>40</v>
      </c>
      <c r="J84" s="3">
        <v>40</v>
      </c>
      <c r="K84">
        <v>4.5999999999999996</v>
      </c>
      <c r="L84" t="b">
        <v>0</v>
      </c>
      <c r="M84" s="4">
        <v>0.74</v>
      </c>
      <c r="O84" s="3" t="s">
        <v>1038</v>
      </c>
      <c r="P84" t="s">
        <v>1025</v>
      </c>
      <c r="Q84" s="3">
        <v>1</v>
      </c>
      <c r="R84">
        <v>1</v>
      </c>
    </row>
    <row r="85" spans="1:18" x14ac:dyDescent="0.25">
      <c r="A85" t="s">
        <v>198</v>
      </c>
      <c r="B85" t="s">
        <v>199</v>
      </c>
      <c r="C85" t="s">
        <v>43</v>
      </c>
      <c r="D85">
        <v>35</v>
      </c>
      <c r="E85" t="s">
        <v>1051</v>
      </c>
      <c r="F85" t="s">
        <v>1059</v>
      </c>
      <c r="G85" t="s">
        <v>1033</v>
      </c>
      <c r="H85">
        <v>5</v>
      </c>
      <c r="I85" s="3" t="s">
        <v>122</v>
      </c>
      <c r="J85" s="3">
        <v>75</v>
      </c>
      <c r="K85">
        <v>3.2</v>
      </c>
      <c r="L85" t="b">
        <v>0</v>
      </c>
      <c r="M85" s="4">
        <v>0.72</v>
      </c>
      <c r="O85" s="3" t="s">
        <v>1038</v>
      </c>
      <c r="P85" t="s">
        <v>1032</v>
      </c>
      <c r="Q85" s="3">
        <v>2</v>
      </c>
      <c r="R85">
        <v>1</v>
      </c>
    </row>
    <row r="86" spans="1:18" x14ac:dyDescent="0.25">
      <c r="A86" t="s">
        <v>200</v>
      </c>
      <c r="B86" t="s">
        <v>201</v>
      </c>
      <c r="C86" t="s">
        <v>43</v>
      </c>
      <c r="D86">
        <v>59</v>
      </c>
      <c r="E86" t="s">
        <v>1051</v>
      </c>
      <c r="F86" t="s">
        <v>1059</v>
      </c>
      <c r="G86" t="s">
        <v>30</v>
      </c>
      <c r="H86">
        <v>30</v>
      </c>
      <c r="I86" s="3" t="s">
        <v>26</v>
      </c>
      <c r="J86" s="3">
        <v>40</v>
      </c>
      <c r="K86">
        <v>0</v>
      </c>
      <c r="L86" t="b">
        <v>1</v>
      </c>
      <c r="M86" s="2"/>
      <c r="O86" s="3" t="s">
        <v>1045</v>
      </c>
      <c r="P86" t="s">
        <v>1032</v>
      </c>
      <c r="Q86" s="3">
        <v>13</v>
      </c>
      <c r="R86">
        <v>13</v>
      </c>
    </row>
    <row r="87" spans="1:18" x14ac:dyDescent="0.25">
      <c r="A87" t="s">
        <v>202</v>
      </c>
      <c r="B87" t="s">
        <v>203</v>
      </c>
      <c r="C87" t="s">
        <v>20</v>
      </c>
      <c r="D87">
        <v>21</v>
      </c>
      <c r="E87" t="s">
        <v>1069</v>
      </c>
      <c r="F87" t="s">
        <v>1070</v>
      </c>
      <c r="G87" t="s">
        <v>1054</v>
      </c>
      <c r="H87">
        <v>2</v>
      </c>
      <c r="I87" s="3">
        <v>100</v>
      </c>
      <c r="J87" s="3">
        <v>100</v>
      </c>
      <c r="K87">
        <v>2.6</v>
      </c>
      <c r="L87" t="b">
        <v>1</v>
      </c>
      <c r="M87" s="4">
        <v>0.85</v>
      </c>
      <c r="O87" s="3" t="s">
        <v>1045</v>
      </c>
      <c r="P87" t="s">
        <v>1042</v>
      </c>
      <c r="Q87" s="3">
        <v>5</v>
      </c>
      <c r="R87">
        <v>3</v>
      </c>
    </row>
    <row r="88" spans="1:18" x14ac:dyDescent="0.25">
      <c r="A88" t="s">
        <v>204</v>
      </c>
      <c r="B88" t="s">
        <v>205</v>
      </c>
      <c r="C88" t="s">
        <v>43</v>
      </c>
      <c r="D88">
        <v>25</v>
      </c>
      <c r="E88" t="s">
        <v>40</v>
      </c>
      <c r="F88" t="s">
        <v>1027</v>
      </c>
      <c r="G88" t="s">
        <v>1028</v>
      </c>
      <c r="H88">
        <v>2</v>
      </c>
      <c r="I88" s="3" t="s">
        <v>122</v>
      </c>
      <c r="J88" s="3">
        <v>75</v>
      </c>
      <c r="K88">
        <v>3.7</v>
      </c>
      <c r="L88" t="b">
        <v>0</v>
      </c>
      <c r="M88" s="2"/>
      <c r="O88" s="3" t="s">
        <v>1046</v>
      </c>
      <c r="P88" t="s">
        <v>1025</v>
      </c>
      <c r="Q88" s="3">
        <v>1</v>
      </c>
      <c r="R88">
        <v>1</v>
      </c>
    </row>
    <row r="89" spans="1:18" x14ac:dyDescent="0.25">
      <c r="A89" t="s">
        <v>206</v>
      </c>
      <c r="B89" t="s">
        <v>207</v>
      </c>
      <c r="C89" t="s">
        <v>20</v>
      </c>
      <c r="D89">
        <v>38</v>
      </c>
      <c r="E89" t="s">
        <v>1071</v>
      </c>
      <c r="F89" t="s">
        <v>1048</v>
      </c>
      <c r="G89" t="s">
        <v>1033</v>
      </c>
      <c r="H89">
        <v>19</v>
      </c>
      <c r="I89" s="3">
        <v>75</v>
      </c>
      <c r="J89" s="3">
        <v>75</v>
      </c>
      <c r="K89">
        <v>2.2999999999999998</v>
      </c>
      <c r="L89" t="b">
        <v>0</v>
      </c>
      <c r="M89" s="4">
        <v>0.61</v>
      </c>
      <c r="O89" s="3" t="s">
        <v>1046</v>
      </c>
      <c r="P89" t="s">
        <v>1025</v>
      </c>
      <c r="Q89" s="3">
        <v>20</v>
      </c>
      <c r="R89">
        <v>9</v>
      </c>
    </row>
    <row r="90" spans="1:18" x14ac:dyDescent="0.25">
      <c r="A90" t="s">
        <v>208</v>
      </c>
      <c r="B90" t="s">
        <v>209</v>
      </c>
      <c r="C90" t="s">
        <v>43</v>
      </c>
      <c r="D90">
        <v>57</v>
      </c>
      <c r="E90" t="s">
        <v>1060</v>
      </c>
      <c r="F90" t="s">
        <v>1061</v>
      </c>
      <c r="G90" t="s">
        <v>30</v>
      </c>
      <c r="H90">
        <v>16</v>
      </c>
      <c r="I90" s="3">
        <v>100</v>
      </c>
      <c r="J90" s="3">
        <v>100</v>
      </c>
      <c r="K90">
        <v>3.1</v>
      </c>
      <c r="L90" t="b">
        <v>0</v>
      </c>
      <c r="M90" s="2"/>
      <c r="O90" s="3" t="s">
        <v>1024</v>
      </c>
      <c r="P90" t="s">
        <v>1032</v>
      </c>
      <c r="Q90" s="3">
        <v>18</v>
      </c>
      <c r="R90">
        <v>4</v>
      </c>
    </row>
    <row r="91" spans="1:18" x14ac:dyDescent="0.25">
      <c r="A91" t="s">
        <v>210</v>
      </c>
      <c r="B91" t="s">
        <v>211</v>
      </c>
      <c r="C91" t="s">
        <v>43</v>
      </c>
      <c r="D91">
        <v>32</v>
      </c>
      <c r="E91" t="s">
        <v>1055</v>
      </c>
      <c r="F91" t="s">
        <v>1056</v>
      </c>
      <c r="G91" t="s">
        <v>1028</v>
      </c>
      <c r="H91">
        <v>10</v>
      </c>
      <c r="I91" s="3" t="s">
        <v>82</v>
      </c>
      <c r="J91" s="3">
        <v>20</v>
      </c>
      <c r="K91">
        <v>2.4</v>
      </c>
      <c r="L91" t="b">
        <v>0</v>
      </c>
      <c r="M91" s="4">
        <v>0.86</v>
      </c>
      <c r="O91" s="3" t="s">
        <v>1046</v>
      </c>
      <c r="P91" t="s">
        <v>1025</v>
      </c>
      <c r="Q91" s="3">
        <v>9</v>
      </c>
      <c r="R91">
        <v>3</v>
      </c>
    </row>
    <row r="92" spans="1:18" x14ac:dyDescent="0.25">
      <c r="A92" t="s">
        <v>212</v>
      </c>
      <c r="B92" t="s">
        <v>213</v>
      </c>
      <c r="C92" t="s">
        <v>43</v>
      </c>
      <c r="D92">
        <v>21</v>
      </c>
      <c r="E92" t="s">
        <v>1021</v>
      </c>
      <c r="F92" t="s">
        <v>1022</v>
      </c>
      <c r="G92" t="s">
        <v>1054</v>
      </c>
      <c r="H92">
        <v>2</v>
      </c>
      <c r="I92" s="3" t="s">
        <v>21</v>
      </c>
      <c r="J92" s="3">
        <v>100</v>
      </c>
      <c r="K92">
        <v>1.6</v>
      </c>
      <c r="L92" t="b">
        <v>1</v>
      </c>
      <c r="M92" s="4">
        <v>0.97</v>
      </c>
      <c r="O92" s="3" t="s">
        <v>1038</v>
      </c>
      <c r="P92" t="s">
        <v>1029</v>
      </c>
      <c r="Q92" s="3">
        <v>4</v>
      </c>
      <c r="R92">
        <v>2</v>
      </c>
    </row>
    <row r="93" spans="1:18" x14ac:dyDescent="0.25">
      <c r="A93" t="s">
        <v>214</v>
      </c>
      <c r="B93" t="s">
        <v>215</v>
      </c>
      <c r="C93" t="s">
        <v>20</v>
      </c>
      <c r="D93">
        <v>57</v>
      </c>
      <c r="E93" t="s">
        <v>1062</v>
      </c>
      <c r="F93" t="s">
        <v>1027</v>
      </c>
      <c r="G93" t="s">
        <v>1050</v>
      </c>
      <c r="H93">
        <v>18</v>
      </c>
      <c r="I93" s="3">
        <v>50</v>
      </c>
      <c r="J93" s="3">
        <v>50</v>
      </c>
      <c r="K93">
        <v>2.4</v>
      </c>
      <c r="L93" t="b">
        <v>1</v>
      </c>
      <c r="M93" s="4">
        <v>0.63</v>
      </c>
      <c r="O93" s="3" t="s">
        <v>1038</v>
      </c>
      <c r="P93" t="s">
        <v>1032</v>
      </c>
      <c r="Q93" s="3">
        <v>11</v>
      </c>
      <c r="R93">
        <v>9</v>
      </c>
    </row>
    <row r="94" spans="1:18" x14ac:dyDescent="0.25">
      <c r="A94" t="s">
        <v>216</v>
      </c>
      <c r="B94" t="s">
        <v>217</v>
      </c>
      <c r="C94" t="s">
        <v>43</v>
      </c>
      <c r="D94">
        <v>53</v>
      </c>
      <c r="E94" t="s">
        <v>1069</v>
      </c>
      <c r="F94" t="s">
        <v>1070</v>
      </c>
      <c r="G94" t="s">
        <v>1049</v>
      </c>
      <c r="H94">
        <v>21</v>
      </c>
      <c r="I94" s="3" t="s">
        <v>21</v>
      </c>
      <c r="J94" s="3">
        <v>100</v>
      </c>
      <c r="K94">
        <v>2.4</v>
      </c>
      <c r="L94" t="b">
        <v>1</v>
      </c>
      <c r="M94" s="4">
        <v>0.97</v>
      </c>
      <c r="O94" s="3" t="s">
        <v>1045</v>
      </c>
      <c r="P94" t="s">
        <v>1042</v>
      </c>
      <c r="Q94" s="3">
        <v>20</v>
      </c>
      <c r="R94">
        <v>10</v>
      </c>
    </row>
    <row r="95" spans="1:18" x14ac:dyDescent="0.25">
      <c r="A95" t="s">
        <v>218</v>
      </c>
      <c r="B95" t="s">
        <v>219</v>
      </c>
      <c r="C95" t="s">
        <v>43</v>
      </c>
      <c r="D95">
        <v>35</v>
      </c>
      <c r="E95" t="s">
        <v>1060</v>
      </c>
      <c r="F95" t="s">
        <v>1061</v>
      </c>
      <c r="G95" t="s">
        <v>1023</v>
      </c>
      <c r="H95">
        <v>3</v>
      </c>
      <c r="I95" s="3" t="s">
        <v>73</v>
      </c>
      <c r="J95" s="3">
        <v>30</v>
      </c>
      <c r="K95">
        <v>3.8</v>
      </c>
      <c r="L95" t="b">
        <v>1</v>
      </c>
      <c r="M95" s="4">
        <v>0.81</v>
      </c>
      <c r="O95" s="3" t="s">
        <v>1038</v>
      </c>
      <c r="P95" t="s">
        <v>1032</v>
      </c>
      <c r="Q95" s="3">
        <v>3</v>
      </c>
      <c r="R95">
        <v>2</v>
      </c>
    </row>
    <row r="96" spans="1:18" x14ac:dyDescent="0.25">
      <c r="A96" t="s">
        <v>220</v>
      </c>
      <c r="B96" t="s">
        <v>221</v>
      </c>
      <c r="C96" t="s">
        <v>20</v>
      </c>
      <c r="D96">
        <v>54</v>
      </c>
      <c r="E96" t="s">
        <v>1069</v>
      </c>
      <c r="F96" t="s">
        <v>1070</v>
      </c>
      <c r="G96" t="s">
        <v>1035</v>
      </c>
      <c r="H96">
        <v>17</v>
      </c>
      <c r="I96" s="3">
        <v>20</v>
      </c>
      <c r="J96" s="3">
        <v>20</v>
      </c>
      <c r="K96">
        <v>1.7</v>
      </c>
      <c r="L96" t="b">
        <v>0</v>
      </c>
      <c r="M96" s="4">
        <v>0.69</v>
      </c>
      <c r="O96" s="3" t="s">
        <v>1024</v>
      </c>
      <c r="P96" t="s">
        <v>1025</v>
      </c>
      <c r="Q96" s="3">
        <v>17</v>
      </c>
      <c r="R96">
        <v>15</v>
      </c>
    </row>
    <row r="97" spans="1:18" x14ac:dyDescent="0.25">
      <c r="A97" t="s">
        <v>222</v>
      </c>
      <c r="B97" t="s">
        <v>223</v>
      </c>
      <c r="C97" t="s">
        <v>20</v>
      </c>
      <c r="D97">
        <v>36</v>
      </c>
      <c r="E97" t="s">
        <v>1021</v>
      </c>
      <c r="F97" t="s">
        <v>1022</v>
      </c>
      <c r="G97" t="s">
        <v>1049</v>
      </c>
      <c r="H97">
        <v>0</v>
      </c>
      <c r="I97" s="3">
        <v>20</v>
      </c>
      <c r="J97" s="3">
        <v>20</v>
      </c>
      <c r="K97">
        <v>1.3</v>
      </c>
      <c r="L97" t="b">
        <v>1</v>
      </c>
      <c r="M97" s="4">
        <v>0.64</v>
      </c>
      <c r="O97" s="3" t="s">
        <v>1038</v>
      </c>
      <c r="P97" t="s">
        <v>1042</v>
      </c>
      <c r="Q97" s="3">
        <v>2</v>
      </c>
      <c r="R97">
        <v>2</v>
      </c>
    </row>
    <row r="98" spans="1:18" x14ac:dyDescent="0.25">
      <c r="A98" t="s">
        <v>224</v>
      </c>
      <c r="B98" t="s">
        <v>225</v>
      </c>
      <c r="C98" t="s">
        <v>20</v>
      </c>
      <c r="D98">
        <v>49</v>
      </c>
      <c r="E98" t="s">
        <v>1072</v>
      </c>
      <c r="F98" t="s">
        <v>1048</v>
      </c>
      <c r="G98" t="s">
        <v>1050</v>
      </c>
      <c r="H98">
        <v>25</v>
      </c>
      <c r="I98" s="3">
        <v>50</v>
      </c>
      <c r="J98" s="3">
        <v>50</v>
      </c>
      <c r="K98">
        <v>5</v>
      </c>
      <c r="L98" t="b">
        <v>0</v>
      </c>
      <c r="M98" s="4">
        <v>0.77</v>
      </c>
      <c r="O98" s="3" t="s">
        <v>1038</v>
      </c>
      <c r="P98" t="s">
        <v>1032</v>
      </c>
      <c r="Q98" s="3">
        <v>14</v>
      </c>
      <c r="R98">
        <v>8</v>
      </c>
    </row>
    <row r="99" spans="1:18" x14ac:dyDescent="0.25">
      <c r="A99" t="s">
        <v>226</v>
      </c>
      <c r="B99" t="s">
        <v>227</v>
      </c>
      <c r="C99" t="s">
        <v>43</v>
      </c>
      <c r="D99">
        <v>37</v>
      </c>
      <c r="E99" t="s">
        <v>40</v>
      </c>
      <c r="F99" t="s">
        <v>1027</v>
      </c>
      <c r="G99" t="s">
        <v>1023</v>
      </c>
      <c r="H99">
        <v>17</v>
      </c>
      <c r="I99" s="3">
        <v>20</v>
      </c>
      <c r="J99" s="3">
        <v>20</v>
      </c>
      <c r="K99">
        <v>3.3</v>
      </c>
      <c r="L99" t="b">
        <v>0</v>
      </c>
      <c r="M99" s="2">
        <v>96</v>
      </c>
      <c r="O99" s="3" t="s">
        <v>1024</v>
      </c>
      <c r="P99" t="s">
        <v>1029</v>
      </c>
      <c r="Q99" s="3">
        <v>20</v>
      </c>
      <c r="R99">
        <v>11</v>
      </c>
    </row>
    <row r="100" spans="1:18" x14ac:dyDescent="0.25">
      <c r="A100" t="s">
        <v>228</v>
      </c>
      <c r="B100" t="s">
        <v>229</v>
      </c>
      <c r="C100" t="s">
        <v>43</v>
      </c>
      <c r="D100">
        <v>41</v>
      </c>
      <c r="E100" t="s">
        <v>40</v>
      </c>
      <c r="F100" t="s">
        <v>1027</v>
      </c>
      <c r="G100" t="s">
        <v>1049</v>
      </c>
      <c r="H100">
        <v>5</v>
      </c>
      <c r="I100" s="3" t="s">
        <v>82</v>
      </c>
      <c r="J100" s="3">
        <v>20</v>
      </c>
      <c r="K100">
        <v>1.1000000000000001</v>
      </c>
      <c r="L100" t="s">
        <v>111</v>
      </c>
      <c r="M100" s="4">
        <v>0.74</v>
      </c>
      <c r="O100" s="3" t="s">
        <v>1046</v>
      </c>
      <c r="P100" t="s">
        <v>1029</v>
      </c>
      <c r="Q100" s="3">
        <v>2</v>
      </c>
      <c r="R100">
        <v>1</v>
      </c>
    </row>
    <row r="101" spans="1:18" x14ac:dyDescent="0.25">
      <c r="A101" t="s">
        <v>230</v>
      </c>
      <c r="B101" t="s">
        <v>231</v>
      </c>
      <c r="C101" t="s">
        <v>43</v>
      </c>
      <c r="D101">
        <v>32</v>
      </c>
      <c r="E101" t="s">
        <v>1065</v>
      </c>
      <c r="F101" t="s">
        <v>1066</v>
      </c>
      <c r="G101" t="s">
        <v>1049</v>
      </c>
      <c r="H101">
        <v>10</v>
      </c>
      <c r="I101" s="3">
        <v>50</v>
      </c>
      <c r="J101" s="3">
        <v>50</v>
      </c>
      <c r="K101">
        <v>1.2</v>
      </c>
      <c r="L101" t="b">
        <v>0</v>
      </c>
      <c r="M101" s="4">
        <v>0.89</v>
      </c>
      <c r="O101" s="3" t="s">
        <v>1046</v>
      </c>
      <c r="P101" t="s">
        <v>1032</v>
      </c>
      <c r="Q101" s="3">
        <v>8</v>
      </c>
      <c r="R101">
        <v>12</v>
      </c>
    </row>
    <row r="102" spans="1:18" x14ac:dyDescent="0.25">
      <c r="A102" t="s">
        <v>232</v>
      </c>
      <c r="B102" t="s">
        <v>233</v>
      </c>
      <c r="C102" t="s">
        <v>43</v>
      </c>
      <c r="D102">
        <v>35</v>
      </c>
      <c r="E102" t="s">
        <v>1055</v>
      </c>
      <c r="F102" t="s">
        <v>1056</v>
      </c>
      <c r="G102" t="s">
        <v>1028</v>
      </c>
      <c r="H102">
        <v>0</v>
      </c>
      <c r="J102" s="3">
        <v>52</v>
      </c>
      <c r="K102">
        <v>2</v>
      </c>
      <c r="L102" t="b">
        <v>1</v>
      </c>
      <c r="M102" s="4">
        <v>0.64</v>
      </c>
      <c r="O102" s="3" t="s">
        <v>1024</v>
      </c>
      <c r="P102" t="s">
        <v>1029</v>
      </c>
      <c r="Q102" s="3">
        <v>4</v>
      </c>
      <c r="R102">
        <v>1</v>
      </c>
    </row>
    <row r="103" spans="1:18" x14ac:dyDescent="0.25">
      <c r="A103" t="s">
        <v>234</v>
      </c>
      <c r="B103" t="s">
        <v>235</v>
      </c>
      <c r="C103" t="s">
        <v>20</v>
      </c>
      <c r="D103">
        <v>51</v>
      </c>
      <c r="E103" t="s">
        <v>1060</v>
      </c>
      <c r="F103" t="s">
        <v>1061</v>
      </c>
      <c r="G103" t="s">
        <v>1031</v>
      </c>
      <c r="H103">
        <v>2</v>
      </c>
      <c r="I103" s="3" t="s">
        <v>31</v>
      </c>
      <c r="J103" s="3">
        <v>30</v>
      </c>
      <c r="K103">
        <v>4.5</v>
      </c>
      <c r="L103" t="b">
        <v>0</v>
      </c>
      <c r="M103" s="2">
        <v>64</v>
      </c>
      <c r="O103" s="3" t="s">
        <v>1045</v>
      </c>
      <c r="P103" t="s">
        <v>1029</v>
      </c>
      <c r="Q103" s="3">
        <v>5</v>
      </c>
      <c r="R103">
        <v>1</v>
      </c>
    </row>
    <row r="104" spans="1:18" x14ac:dyDescent="0.25">
      <c r="A104" t="s">
        <v>236</v>
      </c>
      <c r="B104" t="s">
        <v>237</v>
      </c>
      <c r="C104" t="s">
        <v>20</v>
      </c>
      <c r="D104">
        <v>50</v>
      </c>
      <c r="E104" t="s">
        <v>1060</v>
      </c>
      <c r="F104" t="s">
        <v>1061</v>
      </c>
      <c r="G104" t="s">
        <v>1054</v>
      </c>
      <c r="H104">
        <v>30</v>
      </c>
      <c r="I104" s="3">
        <v>100</v>
      </c>
      <c r="J104" s="3">
        <v>100</v>
      </c>
      <c r="K104">
        <v>3</v>
      </c>
      <c r="L104" t="b">
        <v>1</v>
      </c>
      <c r="M104" s="4">
        <v>0.73</v>
      </c>
      <c r="O104" s="3" t="s">
        <v>1038</v>
      </c>
      <c r="P104" t="s">
        <v>1029</v>
      </c>
      <c r="Q104" s="3">
        <v>13</v>
      </c>
      <c r="R104">
        <v>6</v>
      </c>
    </row>
    <row r="105" spans="1:18" x14ac:dyDescent="0.25">
      <c r="A105" t="s">
        <v>238</v>
      </c>
      <c r="B105" t="s">
        <v>239</v>
      </c>
      <c r="C105" t="s">
        <v>20</v>
      </c>
      <c r="D105">
        <v>21</v>
      </c>
      <c r="E105" t="s">
        <v>1043</v>
      </c>
      <c r="F105" t="s">
        <v>1044</v>
      </c>
      <c r="G105" t="s">
        <v>1023</v>
      </c>
      <c r="H105">
        <v>2</v>
      </c>
      <c r="I105" s="3" t="s">
        <v>44</v>
      </c>
      <c r="J105" s="3">
        <v>50</v>
      </c>
      <c r="K105">
        <v>4.9000000000000004</v>
      </c>
      <c r="L105" t="b">
        <v>1</v>
      </c>
      <c r="M105" s="4">
        <v>0.68</v>
      </c>
      <c r="O105" s="3" t="s">
        <v>1024</v>
      </c>
      <c r="P105" t="s">
        <v>1042</v>
      </c>
      <c r="Q105" s="3">
        <v>2</v>
      </c>
      <c r="R105">
        <v>3</v>
      </c>
    </row>
    <row r="106" spans="1:18" x14ac:dyDescent="0.25">
      <c r="A106" t="s">
        <v>240</v>
      </c>
      <c r="B106" t="s">
        <v>241</v>
      </c>
      <c r="C106" t="s">
        <v>43</v>
      </c>
      <c r="D106">
        <v>25</v>
      </c>
      <c r="E106" t="s">
        <v>40</v>
      </c>
      <c r="F106" t="s">
        <v>1027</v>
      </c>
      <c r="G106" t="s">
        <v>1031</v>
      </c>
      <c r="H106">
        <v>3</v>
      </c>
      <c r="I106" s="3" t="s">
        <v>31</v>
      </c>
      <c r="J106" s="3">
        <v>30</v>
      </c>
      <c r="K106">
        <v>2.4</v>
      </c>
      <c r="L106" t="s">
        <v>111</v>
      </c>
      <c r="M106" s="4">
        <v>0.88</v>
      </c>
      <c r="O106" s="3" t="s">
        <v>1038</v>
      </c>
      <c r="P106" t="s">
        <v>1029</v>
      </c>
      <c r="Q106" s="3">
        <v>2</v>
      </c>
      <c r="R106">
        <v>4</v>
      </c>
    </row>
    <row r="107" spans="1:18" x14ac:dyDescent="0.25">
      <c r="A107" t="s">
        <v>242</v>
      </c>
      <c r="B107" t="s">
        <v>243</v>
      </c>
      <c r="C107" t="s">
        <v>20</v>
      </c>
      <c r="D107">
        <v>57</v>
      </c>
      <c r="E107" t="s">
        <v>1063</v>
      </c>
      <c r="F107" t="s">
        <v>1064</v>
      </c>
      <c r="G107" t="s">
        <v>1054</v>
      </c>
      <c r="H107">
        <v>21</v>
      </c>
      <c r="I107" s="3" t="s">
        <v>26</v>
      </c>
      <c r="J107" s="3">
        <v>40</v>
      </c>
      <c r="K107">
        <v>2.4</v>
      </c>
      <c r="L107" t="b">
        <v>0</v>
      </c>
      <c r="M107" s="4">
        <v>0.77</v>
      </c>
      <c r="O107" s="3" t="s">
        <v>1045</v>
      </c>
      <c r="P107" t="s">
        <v>1029</v>
      </c>
      <c r="Q107" s="3">
        <v>13</v>
      </c>
      <c r="R107">
        <v>10</v>
      </c>
    </row>
    <row r="108" spans="1:18" x14ac:dyDescent="0.25">
      <c r="A108" t="s">
        <v>244</v>
      </c>
      <c r="B108" t="s">
        <v>245</v>
      </c>
      <c r="C108" t="s">
        <v>43</v>
      </c>
      <c r="D108">
        <v>58</v>
      </c>
      <c r="E108" t="s">
        <v>1060</v>
      </c>
      <c r="F108" t="s">
        <v>1061</v>
      </c>
      <c r="G108" t="s">
        <v>1023</v>
      </c>
      <c r="H108">
        <v>3</v>
      </c>
      <c r="J108" s="3">
        <v>52</v>
      </c>
      <c r="K108">
        <v>0</v>
      </c>
      <c r="L108" t="b">
        <v>1</v>
      </c>
      <c r="M108" s="2"/>
      <c r="O108" s="3" t="s">
        <v>1038</v>
      </c>
      <c r="P108" t="s">
        <v>1029</v>
      </c>
      <c r="Q108" s="3">
        <v>3</v>
      </c>
      <c r="R108">
        <v>4</v>
      </c>
    </row>
    <row r="109" spans="1:18" x14ac:dyDescent="0.25">
      <c r="A109" t="s">
        <v>246</v>
      </c>
      <c r="B109" t="s">
        <v>247</v>
      </c>
      <c r="C109" t="s">
        <v>20</v>
      </c>
      <c r="D109">
        <v>45</v>
      </c>
      <c r="E109" t="s">
        <v>1039</v>
      </c>
      <c r="F109" t="s">
        <v>1040</v>
      </c>
      <c r="G109" t="s">
        <v>1028</v>
      </c>
      <c r="H109">
        <v>19</v>
      </c>
      <c r="I109" s="3">
        <v>40</v>
      </c>
      <c r="J109" s="3">
        <v>40</v>
      </c>
      <c r="K109">
        <v>2.4</v>
      </c>
      <c r="L109" t="b">
        <v>1</v>
      </c>
      <c r="M109" s="4">
        <v>0.72</v>
      </c>
      <c r="O109" s="3" t="s">
        <v>1024</v>
      </c>
      <c r="P109" t="s">
        <v>1042</v>
      </c>
      <c r="Q109" s="3">
        <v>12</v>
      </c>
      <c r="R109">
        <v>6</v>
      </c>
    </row>
    <row r="110" spans="1:18" x14ac:dyDescent="0.25">
      <c r="A110" t="s">
        <v>248</v>
      </c>
      <c r="B110" t="s">
        <v>249</v>
      </c>
      <c r="C110" t="s">
        <v>20</v>
      </c>
      <c r="D110">
        <v>23</v>
      </c>
      <c r="E110" t="s">
        <v>40</v>
      </c>
      <c r="F110" t="s">
        <v>1027</v>
      </c>
      <c r="G110" t="s">
        <v>1033</v>
      </c>
      <c r="H110">
        <v>0</v>
      </c>
      <c r="I110" s="3">
        <v>20</v>
      </c>
      <c r="J110" s="3">
        <v>20</v>
      </c>
      <c r="K110">
        <v>4.7</v>
      </c>
      <c r="L110" t="b">
        <v>1</v>
      </c>
      <c r="M110" s="4">
        <v>0.6</v>
      </c>
      <c r="O110" s="3" t="s">
        <v>1038</v>
      </c>
      <c r="P110" t="s">
        <v>1032</v>
      </c>
      <c r="Q110" s="3">
        <v>2</v>
      </c>
      <c r="R110">
        <v>1</v>
      </c>
    </row>
    <row r="111" spans="1:18" x14ac:dyDescent="0.25">
      <c r="A111" t="s">
        <v>250</v>
      </c>
      <c r="B111" t="s">
        <v>251</v>
      </c>
      <c r="C111" t="s">
        <v>20</v>
      </c>
      <c r="D111">
        <v>46</v>
      </c>
      <c r="E111" t="s">
        <v>40</v>
      </c>
      <c r="F111" t="s">
        <v>1027</v>
      </c>
      <c r="G111" t="s">
        <v>30</v>
      </c>
      <c r="H111">
        <v>9</v>
      </c>
      <c r="I111" s="3" t="s">
        <v>31</v>
      </c>
      <c r="J111" s="3">
        <v>30</v>
      </c>
      <c r="K111">
        <v>3.5</v>
      </c>
      <c r="L111" t="b">
        <v>0</v>
      </c>
      <c r="M111" s="2">
        <v>72</v>
      </c>
      <c r="O111" s="3" t="s">
        <v>1046</v>
      </c>
      <c r="P111" t="s">
        <v>1025</v>
      </c>
      <c r="Q111" s="3">
        <v>15</v>
      </c>
      <c r="R111">
        <v>9</v>
      </c>
    </row>
    <row r="112" spans="1:18" x14ac:dyDescent="0.25">
      <c r="A112" t="s">
        <v>252</v>
      </c>
      <c r="B112" t="s">
        <v>253</v>
      </c>
      <c r="C112" t="s">
        <v>43</v>
      </c>
      <c r="D112">
        <v>27</v>
      </c>
      <c r="E112" t="s">
        <v>1047</v>
      </c>
      <c r="F112" t="s">
        <v>1048</v>
      </c>
      <c r="G112" t="s">
        <v>1049</v>
      </c>
      <c r="H112">
        <v>5</v>
      </c>
      <c r="I112" s="3">
        <v>30</v>
      </c>
      <c r="J112" s="3">
        <v>30</v>
      </c>
      <c r="K112">
        <v>2.4</v>
      </c>
      <c r="L112" t="b">
        <v>0</v>
      </c>
      <c r="M112" s="4">
        <v>0.92</v>
      </c>
      <c r="O112" s="3" t="s">
        <v>1045</v>
      </c>
      <c r="P112" t="s">
        <v>1029</v>
      </c>
      <c r="Q112" s="3">
        <v>3</v>
      </c>
      <c r="R112">
        <v>3</v>
      </c>
    </row>
    <row r="113" spans="1:18" x14ac:dyDescent="0.25">
      <c r="A113" t="s">
        <v>254</v>
      </c>
      <c r="B113" t="s">
        <v>255</v>
      </c>
      <c r="C113" t="s">
        <v>20</v>
      </c>
      <c r="D113">
        <v>32</v>
      </c>
      <c r="E113" t="s">
        <v>40</v>
      </c>
      <c r="F113" t="s">
        <v>1027</v>
      </c>
      <c r="G113" t="s">
        <v>1035</v>
      </c>
      <c r="H113">
        <v>6</v>
      </c>
      <c r="I113" s="3" t="s">
        <v>64</v>
      </c>
      <c r="J113" s="3">
        <v>50</v>
      </c>
      <c r="K113">
        <v>3.4</v>
      </c>
      <c r="L113" t="b">
        <v>1</v>
      </c>
      <c r="M113" s="2"/>
      <c r="O113" s="3" t="s">
        <v>1045</v>
      </c>
      <c r="P113" t="s">
        <v>1032</v>
      </c>
      <c r="Q113" s="3">
        <v>11</v>
      </c>
      <c r="R113">
        <v>4</v>
      </c>
    </row>
    <row r="114" spans="1:18" x14ac:dyDescent="0.25">
      <c r="A114" t="s">
        <v>256</v>
      </c>
      <c r="B114" t="s">
        <v>257</v>
      </c>
      <c r="C114" t="s">
        <v>20</v>
      </c>
      <c r="D114">
        <v>48</v>
      </c>
      <c r="E114" t="s">
        <v>1047</v>
      </c>
      <c r="F114" t="s">
        <v>1048</v>
      </c>
      <c r="G114" t="s">
        <v>1035</v>
      </c>
      <c r="H114">
        <v>6</v>
      </c>
      <c r="I114" s="3" t="s">
        <v>34</v>
      </c>
      <c r="J114" s="3">
        <v>75</v>
      </c>
      <c r="K114">
        <v>2.4</v>
      </c>
      <c r="L114" t="b">
        <v>0</v>
      </c>
      <c r="M114" s="4">
        <v>0.92</v>
      </c>
      <c r="O114" s="3" t="s">
        <v>1045</v>
      </c>
      <c r="P114" t="s">
        <v>1029</v>
      </c>
      <c r="Q114" s="3">
        <v>13</v>
      </c>
      <c r="R114">
        <v>1</v>
      </c>
    </row>
    <row r="115" spans="1:18" x14ac:dyDescent="0.25">
      <c r="A115" t="s">
        <v>258</v>
      </c>
      <c r="B115" t="s">
        <v>259</v>
      </c>
      <c r="C115" t="s">
        <v>43</v>
      </c>
      <c r="D115">
        <v>30</v>
      </c>
      <c r="E115" t="s">
        <v>1043</v>
      </c>
      <c r="F115" t="s">
        <v>1044</v>
      </c>
      <c r="G115" t="s">
        <v>1028</v>
      </c>
      <c r="H115">
        <v>3</v>
      </c>
      <c r="I115" s="3" t="s">
        <v>31</v>
      </c>
      <c r="J115" s="3">
        <v>30</v>
      </c>
      <c r="K115">
        <v>1.1000000000000001</v>
      </c>
      <c r="L115" t="b">
        <v>1</v>
      </c>
      <c r="M115" s="2"/>
      <c r="O115" s="3" t="s">
        <v>1024</v>
      </c>
      <c r="P115" t="s">
        <v>1042</v>
      </c>
      <c r="Q115" s="3">
        <v>2</v>
      </c>
      <c r="R115">
        <v>1</v>
      </c>
    </row>
    <row r="116" spans="1:18" x14ac:dyDescent="0.25">
      <c r="A116" t="s">
        <v>260</v>
      </c>
      <c r="B116" t="s">
        <v>261</v>
      </c>
      <c r="C116" t="s">
        <v>43</v>
      </c>
      <c r="D116">
        <v>59</v>
      </c>
      <c r="E116" t="s">
        <v>1043</v>
      </c>
      <c r="F116" t="s">
        <v>1044</v>
      </c>
      <c r="G116" t="s">
        <v>30</v>
      </c>
      <c r="H116">
        <v>13</v>
      </c>
      <c r="I116" s="3" t="s">
        <v>262</v>
      </c>
      <c r="J116" s="3">
        <v>20</v>
      </c>
      <c r="K116">
        <v>4.8</v>
      </c>
      <c r="L116" t="b">
        <v>0</v>
      </c>
      <c r="M116" s="2"/>
      <c r="O116" s="3" t="s">
        <v>1045</v>
      </c>
      <c r="P116" t="s">
        <v>1032</v>
      </c>
      <c r="Q116" s="3">
        <v>7</v>
      </c>
      <c r="R116">
        <v>10</v>
      </c>
    </row>
    <row r="117" spans="1:18" x14ac:dyDescent="0.25">
      <c r="A117" t="s">
        <v>263</v>
      </c>
      <c r="B117" t="s">
        <v>264</v>
      </c>
      <c r="C117" t="s">
        <v>20</v>
      </c>
      <c r="D117">
        <v>32</v>
      </c>
      <c r="E117" t="s">
        <v>1071</v>
      </c>
      <c r="F117" t="s">
        <v>1048</v>
      </c>
      <c r="G117" t="s">
        <v>30</v>
      </c>
      <c r="H117">
        <v>5</v>
      </c>
      <c r="I117" s="3" t="s">
        <v>31</v>
      </c>
      <c r="J117" s="3">
        <v>30</v>
      </c>
      <c r="K117">
        <v>2.4</v>
      </c>
      <c r="L117" t="b">
        <v>0</v>
      </c>
      <c r="M117" s="4">
        <v>0.86</v>
      </c>
      <c r="O117" s="3" t="s">
        <v>1046</v>
      </c>
      <c r="P117" t="s">
        <v>1042</v>
      </c>
      <c r="Q117" s="3">
        <v>3</v>
      </c>
      <c r="R117">
        <v>1</v>
      </c>
    </row>
    <row r="118" spans="1:18" x14ac:dyDescent="0.25">
      <c r="A118" t="s">
        <v>265</v>
      </c>
      <c r="B118" t="s">
        <v>266</v>
      </c>
      <c r="C118" t="s">
        <v>20</v>
      </c>
      <c r="D118">
        <v>57</v>
      </c>
      <c r="E118" t="s">
        <v>1065</v>
      </c>
      <c r="F118" t="s">
        <v>1066</v>
      </c>
      <c r="G118" t="s">
        <v>1049</v>
      </c>
      <c r="H118">
        <v>4</v>
      </c>
      <c r="I118" s="3" t="s">
        <v>37</v>
      </c>
      <c r="J118" s="3">
        <v>40</v>
      </c>
      <c r="K118">
        <v>3.4</v>
      </c>
      <c r="L118" t="b">
        <v>1</v>
      </c>
      <c r="M118" s="4">
        <v>0.68</v>
      </c>
      <c r="O118" s="3" t="s">
        <v>1024</v>
      </c>
      <c r="P118" t="s">
        <v>1029</v>
      </c>
      <c r="Q118" s="3">
        <v>1</v>
      </c>
      <c r="R118">
        <v>4</v>
      </c>
    </row>
    <row r="119" spans="1:18" x14ac:dyDescent="0.25">
      <c r="A119" t="s">
        <v>267</v>
      </c>
      <c r="B119" t="s">
        <v>268</v>
      </c>
      <c r="C119" t="s">
        <v>43</v>
      </c>
      <c r="D119">
        <v>27</v>
      </c>
      <c r="E119" t="s">
        <v>1026</v>
      </c>
      <c r="F119" t="s">
        <v>1027</v>
      </c>
      <c r="G119" t="s">
        <v>1035</v>
      </c>
      <c r="H119">
        <v>7</v>
      </c>
      <c r="I119" s="3" t="s">
        <v>262</v>
      </c>
      <c r="J119" s="3">
        <v>20</v>
      </c>
      <c r="K119">
        <v>3.2</v>
      </c>
      <c r="L119" t="b">
        <v>1</v>
      </c>
      <c r="M119" s="4">
        <v>0.62</v>
      </c>
      <c r="O119" s="3" t="s">
        <v>1046</v>
      </c>
      <c r="P119" t="s">
        <v>1029</v>
      </c>
      <c r="Q119" s="3">
        <v>9</v>
      </c>
      <c r="R119">
        <v>3</v>
      </c>
    </row>
    <row r="120" spans="1:18" x14ac:dyDescent="0.25">
      <c r="A120" t="s">
        <v>269</v>
      </c>
      <c r="B120" t="s">
        <v>270</v>
      </c>
      <c r="C120" t="s">
        <v>20</v>
      </c>
      <c r="D120">
        <v>33</v>
      </c>
      <c r="E120" t="s">
        <v>1051</v>
      </c>
      <c r="F120" t="s">
        <v>1040</v>
      </c>
      <c r="G120" t="s">
        <v>1035</v>
      </c>
      <c r="H120">
        <v>13</v>
      </c>
      <c r="I120" s="3">
        <v>20</v>
      </c>
      <c r="J120" s="3">
        <v>20</v>
      </c>
      <c r="K120">
        <v>3.2</v>
      </c>
      <c r="L120" t="b">
        <v>0</v>
      </c>
      <c r="M120" s="2"/>
      <c r="O120" s="3" t="s">
        <v>1038</v>
      </c>
      <c r="P120" t="s">
        <v>1042</v>
      </c>
      <c r="Q120" s="3">
        <v>8</v>
      </c>
      <c r="R120">
        <v>9</v>
      </c>
    </row>
    <row r="121" spans="1:18" x14ac:dyDescent="0.25">
      <c r="A121" t="s">
        <v>271</v>
      </c>
      <c r="B121" t="s">
        <v>272</v>
      </c>
      <c r="C121" t="s">
        <v>43</v>
      </c>
      <c r="D121">
        <v>29</v>
      </c>
      <c r="E121" t="s">
        <v>1051</v>
      </c>
      <c r="F121" t="s">
        <v>1059</v>
      </c>
      <c r="G121" t="s">
        <v>1041</v>
      </c>
      <c r="H121">
        <v>4</v>
      </c>
      <c r="I121" s="3">
        <v>30</v>
      </c>
      <c r="J121" s="3">
        <v>30</v>
      </c>
      <c r="K121">
        <v>0</v>
      </c>
      <c r="L121" t="b">
        <v>1</v>
      </c>
      <c r="M121" s="4">
        <v>0.82</v>
      </c>
      <c r="O121" s="3" t="s">
        <v>1038</v>
      </c>
      <c r="P121" t="s">
        <v>1025</v>
      </c>
      <c r="Q121" s="3">
        <v>5</v>
      </c>
      <c r="R121">
        <v>3</v>
      </c>
    </row>
    <row r="122" spans="1:18" x14ac:dyDescent="0.25">
      <c r="A122" t="s">
        <v>273</v>
      </c>
      <c r="B122" t="s">
        <v>1073</v>
      </c>
      <c r="C122" t="s">
        <v>20</v>
      </c>
      <c r="D122">
        <v>36</v>
      </c>
      <c r="E122" t="s">
        <v>1039</v>
      </c>
      <c r="F122" t="s">
        <v>1040</v>
      </c>
      <c r="G122" t="s">
        <v>1049</v>
      </c>
      <c r="H122">
        <v>13</v>
      </c>
      <c r="I122" s="3">
        <v>75</v>
      </c>
      <c r="J122" s="3">
        <v>75</v>
      </c>
      <c r="K122">
        <v>2.4</v>
      </c>
      <c r="L122" t="b">
        <v>1</v>
      </c>
      <c r="M122" s="2"/>
      <c r="O122" s="3" t="s">
        <v>1038</v>
      </c>
      <c r="P122" t="s">
        <v>1042</v>
      </c>
      <c r="Q122" s="3">
        <v>14</v>
      </c>
      <c r="R122">
        <v>4</v>
      </c>
    </row>
    <row r="123" spans="1:18" x14ac:dyDescent="0.25">
      <c r="A123" t="s">
        <v>274</v>
      </c>
      <c r="B123" t="s">
        <v>275</v>
      </c>
      <c r="C123" t="s">
        <v>20</v>
      </c>
      <c r="D123">
        <v>47</v>
      </c>
      <c r="E123" t="s">
        <v>1021</v>
      </c>
      <c r="F123" t="s">
        <v>1022</v>
      </c>
      <c r="G123" t="s">
        <v>1054</v>
      </c>
      <c r="H123">
        <v>5</v>
      </c>
      <c r="I123" s="3" t="s">
        <v>26</v>
      </c>
      <c r="J123" s="3">
        <v>40</v>
      </c>
      <c r="K123">
        <v>3.7</v>
      </c>
      <c r="L123" t="b">
        <v>0</v>
      </c>
      <c r="M123" s="2">
        <v>93</v>
      </c>
      <c r="O123" s="3" t="s">
        <v>1038</v>
      </c>
      <c r="P123" t="s">
        <v>1029</v>
      </c>
      <c r="Q123" s="3">
        <v>3</v>
      </c>
      <c r="R123">
        <v>1</v>
      </c>
    </row>
    <row r="124" spans="1:18" x14ac:dyDescent="0.25">
      <c r="A124" t="s">
        <v>276</v>
      </c>
      <c r="B124" t="s">
        <v>277</v>
      </c>
      <c r="C124" t="s">
        <v>43</v>
      </c>
      <c r="D124">
        <v>48</v>
      </c>
      <c r="E124" t="s">
        <v>1062</v>
      </c>
      <c r="F124" t="s">
        <v>1027</v>
      </c>
      <c r="G124" t="s">
        <v>1035</v>
      </c>
      <c r="H124">
        <v>15</v>
      </c>
      <c r="I124" s="3" t="s">
        <v>64</v>
      </c>
      <c r="J124" s="3">
        <v>50</v>
      </c>
      <c r="K124">
        <v>1</v>
      </c>
      <c r="L124" t="b">
        <v>1</v>
      </c>
      <c r="M124" s="4">
        <v>0.64</v>
      </c>
      <c r="O124" s="3" t="s">
        <v>1046</v>
      </c>
      <c r="P124" t="s">
        <v>1042</v>
      </c>
      <c r="Q124" s="3">
        <v>14</v>
      </c>
      <c r="R124">
        <v>5</v>
      </c>
    </row>
    <row r="125" spans="1:18" x14ac:dyDescent="0.25">
      <c r="A125" t="s">
        <v>278</v>
      </c>
      <c r="B125" t="s">
        <v>279</v>
      </c>
      <c r="C125" t="s">
        <v>20</v>
      </c>
      <c r="D125">
        <v>27</v>
      </c>
      <c r="E125" t="s">
        <v>1069</v>
      </c>
      <c r="F125" t="s">
        <v>1070</v>
      </c>
      <c r="G125" t="s">
        <v>1049</v>
      </c>
      <c r="H125">
        <v>8</v>
      </c>
      <c r="I125" s="3" t="s">
        <v>44</v>
      </c>
      <c r="J125" s="3">
        <v>50</v>
      </c>
      <c r="K125">
        <v>0</v>
      </c>
      <c r="L125" t="b">
        <v>0</v>
      </c>
      <c r="M125" s="2"/>
      <c r="O125" s="3" t="s">
        <v>1024</v>
      </c>
      <c r="P125" t="s">
        <v>1025</v>
      </c>
      <c r="Q125" s="3">
        <v>14</v>
      </c>
      <c r="R125">
        <v>6</v>
      </c>
    </row>
    <row r="126" spans="1:18" x14ac:dyDescent="0.25">
      <c r="A126" t="s">
        <v>280</v>
      </c>
      <c r="B126" t="s">
        <v>281</v>
      </c>
      <c r="C126" t="s">
        <v>43</v>
      </c>
      <c r="D126">
        <v>34</v>
      </c>
      <c r="E126" t="s">
        <v>1026</v>
      </c>
      <c r="F126" t="s">
        <v>1027</v>
      </c>
      <c r="G126" t="s">
        <v>1033</v>
      </c>
      <c r="H126">
        <v>10</v>
      </c>
      <c r="J126" s="3">
        <v>52</v>
      </c>
      <c r="K126">
        <v>1.7</v>
      </c>
      <c r="L126" t="b">
        <v>0</v>
      </c>
      <c r="M126" s="4">
        <v>0.96</v>
      </c>
      <c r="O126" s="3" t="s">
        <v>1024</v>
      </c>
      <c r="P126" t="s">
        <v>1042</v>
      </c>
      <c r="Q126" s="3">
        <v>7</v>
      </c>
      <c r="R126">
        <v>9</v>
      </c>
    </row>
    <row r="127" spans="1:18" x14ac:dyDescent="0.25">
      <c r="A127" t="s">
        <v>282</v>
      </c>
      <c r="B127" t="s">
        <v>283</v>
      </c>
      <c r="C127" t="s">
        <v>43</v>
      </c>
      <c r="D127">
        <v>49</v>
      </c>
      <c r="E127" t="s">
        <v>1051</v>
      </c>
      <c r="F127" t="s">
        <v>1059</v>
      </c>
      <c r="G127" t="s">
        <v>1041</v>
      </c>
      <c r="H127">
        <v>19</v>
      </c>
      <c r="J127" s="3">
        <v>52</v>
      </c>
      <c r="K127">
        <v>5</v>
      </c>
      <c r="L127" t="b">
        <v>1</v>
      </c>
      <c r="M127" s="4">
        <v>0.83</v>
      </c>
      <c r="O127" s="3" t="s">
        <v>1045</v>
      </c>
      <c r="P127" t="s">
        <v>1025</v>
      </c>
      <c r="Q127" s="3">
        <v>11</v>
      </c>
      <c r="R127">
        <v>5</v>
      </c>
    </row>
    <row r="128" spans="1:18" x14ac:dyDescent="0.25">
      <c r="A128" t="s">
        <v>284</v>
      </c>
      <c r="B128" t="s">
        <v>285</v>
      </c>
      <c r="C128" t="s">
        <v>43</v>
      </c>
      <c r="D128">
        <v>30</v>
      </c>
      <c r="E128" t="s">
        <v>1057</v>
      </c>
      <c r="F128" t="s">
        <v>1058</v>
      </c>
      <c r="G128" t="s">
        <v>1028</v>
      </c>
      <c r="H128">
        <v>10</v>
      </c>
      <c r="I128" s="3" t="s">
        <v>177</v>
      </c>
      <c r="J128" s="3">
        <v>100</v>
      </c>
      <c r="K128">
        <v>1.7</v>
      </c>
      <c r="L128" t="b">
        <v>1</v>
      </c>
      <c r="M128" s="4">
        <v>0.64</v>
      </c>
      <c r="O128" s="3" t="s">
        <v>1046</v>
      </c>
      <c r="P128" t="s">
        <v>1025</v>
      </c>
      <c r="Q128" s="3">
        <v>14</v>
      </c>
      <c r="R128">
        <v>9</v>
      </c>
    </row>
    <row r="129" spans="1:18" x14ac:dyDescent="0.25">
      <c r="A129" t="s">
        <v>286</v>
      </c>
      <c r="B129" t="s">
        <v>287</v>
      </c>
      <c r="C129" t="s">
        <v>43</v>
      </c>
      <c r="D129">
        <v>31</v>
      </c>
      <c r="E129" t="s">
        <v>1065</v>
      </c>
      <c r="F129" t="s">
        <v>1066</v>
      </c>
      <c r="G129" t="s">
        <v>1031</v>
      </c>
      <c r="H129">
        <v>8</v>
      </c>
      <c r="I129" s="3">
        <v>40</v>
      </c>
      <c r="J129" s="3">
        <v>40</v>
      </c>
      <c r="K129">
        <v>4.4000000000000004</v>
      </c>
      <c r="L129" t="b">
        <v>0</v>
      </c>
      <c r="M129" s="4">
        <v>0.7</v>
      </c>
      <c r="O129" s="3" t="s">
        <v>1038</v>
      </c>
      <c r="P129" t="s">
        <v>1042</v>
      </c>
      <c r="Q129" s="3">
        <v>15</v>
      </c>
      <c r="R129">
        <v>5</v>
      </c>
    </row>
    <row r="130" spans="1:18" x14ac:dyDescent="0.25">
      <c r="A130" t="s">
        <v>288</v>
      </c>
      <c r="B130" t="s">
        <v>289</v>
      </c>
      <c r="C130" t="s">
        <v>43</v>
      </c>
      <c r="D130">
        <v>58</v>
      </c>
      <c r="E130" t="s">
        <v>1069</v>
      </c>
      <c r="F130" t="s">
        <v>1070</v>
      </c>
      <c r="G130" t="s">
        <v>1035</v>
      </c>
      <c r="H130">
        <v>9</v>
      </c>
      <c r="I130" s="3">
        <v>20</v>
      </c>
      <c r="J130" s="3">
        <v>20</v>
      </c>
      <c r="K130">
        <v>0</v>
      </c>
      <c r="L130" t="b">
        <v>0</v>
      </c>
      <c r="M130" s="4">
        <v>0.65</v>
      </c>
      <c r="O130" s="3" t="s">
        <v>1046</v>
      </c>
      <c r="P130" t="s">
        <v>1042</v>
      </c>
      <c r="Q130" s="3">
        <v>15</v>
      </c>
      <c r="R130">
        <v>7</v>
      </c>
    </row>
    <row r="131" spans="1:18" x14ac:dyDescent="0.25">
      <c r="A131" t="s">
        <v>290</v>
      </c>
      <c r="B131" t="s">
        <v>291</v>
      </c>
      <c r="C131" t="s">
        <v>43</v>
      </c>
      <c r="D131">
        <v>47</v>
      </c>
      <c r="E131" t="s">
        <v>1063</v>
      </c>
      <c r="F131" t="s">
        <v>1064</v>
      </c>
      <c r="G131" t="s">
        <v>1035</v>
      </c>
      <c r="H131">
        <v>13</v>
      </c>
      <c r="I131" s="3">
        <v>40</v>
      </c>
      <c r="J131" s="3">
        <v>40</v>
      </c>
      <c r="K131">
        <v>3.4</v>
      </c>
      <c r="L131" t="b">
        <v>0</v>
      </c>
      <c r="M131" s="4">
        <v>0.67</v>
      </c>
      <c r="O131" s="3" t="s">
        <v>1045</v>
      </c>
      <c r="P131" t="s">
        <v>1032</v>
      </c>
      <c r="Q131" s="3">
        <v>7</v>
      </c>
      <c r="R131">
        <v>3</v>
      </c>
    </row>
    <row r="132" spans="1:18" x14ac:dyDescent="0.25">
      <c r="A132" t="s">
        <v>292</v>
      </c>
      <c r="B132" t="s">
        <v>293</v>
      </c>
      <c r="C132" t="s">
        <v>20</v>
      </c>
      <c r="D132">
        <v>45</v>
      </c>
      <c r="E132" t="s">
        <v>47</v>
      </c>
      <c r="F132" t="s">
        <v>1027</v>
      </c>
      <c r="G132" t="s">
        <v>1050</v>
      </c>
      <c r="H132">
        <v>14</v>
      </c>
      <c r="I132" s="3" t="s">
        <v>21</v>
      </c>
      <c r="J132" s="3">
        <v>100</v>
      </c>
      <c r="K132">
        <v>1.1000000000000001</v>
      </c>
      <c r="L132" t="s">
        <v>111</v>
      </c>
      <c r="M132" s="2">
        <v>93</v>
      </c>
      <c r="O132" s="3" t="s">
        <v>1045</v>
      </c>
      <c r="P132" t="s">
        <v>1029</v>
      </c>
      <c r="Q132" s="3">
        <v>12</v>
      </c>
      <c r="R132">
        <v>12</v>
      </c>
    </row>
    <row r="133" spans="1:18" x14ac:dyDescent="0.25">
      <c r="A133" t="s">
        <v>294</v>
      </c>
      <c r="B133" t="s">
        <v>295</v>
      </c>
      <c r="C133" t="s">
        <v>20</v>
      </c>
      <c r="D133">
        <v>57</v>
      </c>
      <c r="E133" t="s">
        <v>1063</v>
      </c>
      <c r="F133" t="s">
        <v>1064</v>
      </c>
      <c r="G133" t="s">
        <v>1035</v>
      </c>
      <c r="H133">
        <v>0</v>
      </c>
      <c r="I133" s="3">
        <v>50</v>
      </c>
      <c r="J133" s="3">
        <v>50</v>
      </c>
      <c r="K133">
        <v>1.6</v>
      </c>
      <c r="L133" t="b">
        <v>0</v>
      </c>
      <c r="M133" s="4">
        <v>0.6</v>
      </c>
      <c r="O133" s="3" t="s">
        <v>1046</v>
      </c>
      <c r="P133" t="s">
        <v>1025</v>
      </c>
      <c r="Q133" s="3">
        <v>3</v>
      </c>
      <c r="R133">
        <v>2</v>
      </c>
    </row>
    <row r="134" spans="1:18" x14ac:dyDescent="0.25">
      <c r="A134" t="s">
        <v>296</v>
      </c>
      <c r="B134" t="s">
        <v>297</v>
      </c>
      <c r="C134" t="s">
        <v>43</v>
      </c>
      <c r="D134">
        <v>50</v>
      </c>
      <c r="E134" t="s">
        <v>1055</v>
      </c>
      <c r="F134" t="s">
        <v>1056</v>
      </c>
      <c r="G134" t="s">
        <v>1033</v>
      </c>
      <c r="H134">
        <v>22</v>
      </c>
      <c r="I134" s="3">
        <v>100</v>
      </c>
      <c r="J134" s="3">
        <v>100</v>
      </c>
      <c r="K134">
        <v>4.0999999999999996</v>
      </c>
      <c r="L134" t="b">
        <v>0</v>
      </c>
      <c r="M134" s="4">
        <v>0.62</v>
      </c>
      <c r="O134" s="3" t="s">
        <v>1046</v>
      </c>
      <c r="P134" t="s">
        <v>1032</v>
      </c>
      <c r="Q134" s="3">
        <v>17</v>
      </c>
      <c r="R134">
        <v>6</v>
      </c>
    </row>
    <row r="135" spans="1:18" x14ac:dyDescent="0.25">
      <c r="A135" t="s">
        <v>298</v>
      </c>
      <c r="B135" t="s">
        <v>299</v>
      </c>
      <c r="C135" t="s">
        <v>20</v>
      </c>
      <c r="D135">
        <v>41</v>
      </c>
      <c r="E135" t="s">
        <v>1057</v>
      </c>
      <c r="F135" t="s">
        <v>1058</v>
      </c>
      <c r="G135" t="s">
        <v>1035</v>
      </c>
      <c r="H135">
        <v>4</v>
      </c>
      <c r="J135" s="3">
        <v>52</v>
      </c>
      <c r="K135">
        <v>2.4</v>
      </c>
      <c r="L135" t="b">
        <v>0</v>
      </c>
      <c r="M135" s="4">
        <v>0.7</v>
      </c>
      <c r="O135" s="3" t="s">
        <v>1046</v>
      </c>
      <c r="P135" t="s">
        <v>1042</v>
      </c>
      <c r="Q135" s="3">
        <v>2</v>
      </c>
      <c r="R135">
        <v>1</v>
      </c>
    </row>
    <row r="136" spans="1:18" x14ac:dyDescent="0.25">
      <c r="A136" t="s">
        <v>300</v>
      </c>
      <c r="B136" t="s">
        <v>301</v>
      </c>
      <c r="C136" t="s">
        <v>20</v>
      </c>
      <c r="D136">
        <v>45</v>
      </c>
      <c r="E136" t="s">
        <v>1039</v>
      </c>
      <c r="F136" t="s">
        <v>1040</v>
      </c>
      <c r="G136" t="s">
        <v>1023</v>
      </c>
      <c r="H136">
        <v>22</v>
      </c>
      <c r="I136" s="3" t="s">
        <v>177</v>
      </c>
      <c r="J136" s="3">
        <v>100</v>
      </c>
      <c r="K136">
        <v>4</v>
      </c>
      <c r="L136" t="b">
        <v>1</v>
      </c>
      <c r="M136" s="4">
        <v>0.75</v>
      </c>
      <c r="O136" s="3" t="s">
        <v>1024</v>
      </c>
      <c r="P136" t="s">
        <v>1029</v>
      </c>
      <c r="Q136" s="3">
        <v>16</v>
      </c>
      <c r="R136">
        <v>4</v>
      </c>
    </row>
    <row r="137" spans="1:18" x14ac:dyDescent="0.25">
      <c r="A137" t="s">
        <v>302</v>
      </c>
      <c r="B137" t="s">
        <v>303</v>
      </c>
      <c r="C137" t="s">
        <v>43</v>
      </c>
      <c r="D137">
        <v>60</v>
      </c>
      <c r="E137" t="s">
        <v>1067</v>
      </c>
      <c r="F137" t="s">
        <v>1068</v>
      </c>
      <c r="G137" t="s">
        <v>1050</v>
      </c>
      <c r="H137">
        <v>39</v>
      </c>
      <c r="I137" s="3">
        <v>75</v>
      </c>
      <c r="J137" s="3">
        <v>75</v>
      </c>
      <c r="K137">
        <v>1.4</v>
      </c>
      <c r="L137" t="s">
        <v>111</v>
      </c>
      <c r="M137" s="4">
        <v>0.7</v>
      </c>
      <c r="O137" s="3" t="s">
        <v>1038</v>
      </c>
      <c r="P137" t="s">
        <v>1032</v>
      </c>
      <c r="Q137" s="3">
        <v>10</v>
      </c>
      <c r="R137">
        <v>3</v>
      </c>
    </row>
    <row r="138" spans="1:18" x14ac:dyDescent="0.25">
      <c r="A138" t="s">
        <v>304</v>
      </c>
      <c r="B138" t="s">
        <v>305</v>
      </c>
      <c r="C138" t="s">
        <v>20</v>
      </c>
      <c r="D138">
        <v>43</v>
      </c>
      <c r="E138" t="s">
        <v>47</v>
      </c>
      <c r="F138" t="s">
        <v>1027</v>
      </c>
      <c r="G138" t="s">
        <v>1050</v>
      </c>
      <c r="H138">
        <v>5</v>
      </c>
      <c r="I138" s="3" t="s">
        <v>64</v>
      </c>
      <c r="J138" s="3">
        <v>50</v>
      </c>
      <c r="K138">
        <v>2.4</v>
      </c>
      <c r="L138" t="b">
        <v>1</v>
      </c>
      <c r="M138" s="4">
        <v>0.84</v>
      </c>
      <c r="O138" s="3" t="s">
        <v>1046</v>
      </c>
      <c r="P138" t="s">
        <v>1025</v>
      </c>
      <c r="Q138" s="3">
        <v>1</v>
      </c>
      <c r="R138">
        <v>3</v>
      </c>
    </row>
    <row r="139" spans="1:18" x14ac:dyDescent="0.25">
      <c r="A139" t="s">
        <v>306</v>
      </c>
      <c r="B139" t="s">
        <v>307</v>
      </c>
      <c r="C139" t="s">
        <v>20</v>
      </c>
      <c r="D139">
        <v>39</v>
      </c>
      <c r="E139" t="s">
        <v>1063</v>
      </c>
      <c r="F139" t="s">
        <v>1064</v>
      </c>
      <c r="G139" t="s">
        <v>1050</v>
      </c>
      <c r="H139">
        <v>5</v>
      </c>
      <c r="I139" s="3" t="s">
        <v>37</v>
      </c>
      <c r="J139" s="3">
        <v>40</v>
      </c>
      <c r="K139">
        <v>1.2</v>
      </c>
      <c r="L139" t="b">
        <v>0</v>
      </c>
      <c r="M139" s="2">
        <v>83</v>
      </c>
      <c r="O139" s="3" t="s">
        <v>1046</v>
      </c>
      <c r="P139" t="s">
        <v>1032</v>
      </c>
      <c r="Q139" s="3">
        <v>4</v>
      </c>
      <c r="R139">
        <v>1</v>
      </c>
    </row>
    <row r="140" spans="1:18" x14ac:dyDescent="0.25">
      <c r="A140" t="s">
        <v>308</v>
      </c>
      <c r="B140" t="s">
        <v>309</v>
      </c>
      <c r="C140" t="s">
        <v>43</v>
      </c>
      <c r="D140">
        <v>26</v>
      </c>
      <c r="E140" t="s">
        <v>1071</v>
      </c>
      <c r="F140" t="s">
        <v>1048</v>
      </c>
      <c r="G140" t="s">
        <v>1049</v>
      </c>
      <c r="H140">
        <v>5</v>
      </c>
      <c r="I140" s="3">
        <v>50</v>
      </c>
      <c r="J140" s="3">
        <v>50</v>
      </c>
      <c r="K140">
        <v>0</v>
      </c>
      <c r="L140" t="b">
        <v>0</v>
      </c>
      <c r="M140" s="2"/>
      <c r="O140" s="3" t="s">
        <v>1046</v>
      </c>
      <c r="P140" t="s">
        <v>1025</v>
      </c>
      <c r="Q140" s="3">
        <v>3</v>
      </c>
      <c r="R140">
        <v>1</v>
      </c>
    </row>
    <row r="141" spans="1:18" x14ac:dyDescent="0.25">
      <c r="A141" t="s">
        <v>310</v>
      </c>
      <c r="B141" t="s">
        <v>311</v>
      </c>
      <c r="C141" t="s">
        <v>43</v>
      </c>
      <c r="D141">
        <v>31</v>
      </c>
      <c r="E141" t="s">
        <v>1030</v>
      </c>
      <c r="F141" t="s">
        <v>1030</v>
      </c>
      <c r="G141" t="s">
        <v>1050</v>
      </c>
      <c r="H141">
        <v>11</v>
      </c>
      <c r="I141" s="3">
        <v>50</v>
      </c>
      <c r="J141" s="3">
        <v>50</v>
      </c>
      <c r="K141">
        <v>3.1</v>
      </c>
      <c r="L141" t="b">
        <v>0</v>
      </c>
      <c r="M141" s="4">
        <v>0.88</v>
      </c>
      <c r="O141" s="3" t="s">
        <v>1045</v>
      </c>
      <c r="P141" t="s">
        <v>1042</v>
      </c>
      <c r="Q141" s="3">
        <v>14</v>
      </c>
      <c r="R141">
        <v>3</v>
      </c>
    </row>
    <row r="142" spans="1:18" x14ac:dyDescent="0.25">
      <c r="A142" t="s">
        <v>312</v>
      </c>
      <c r="B142" t="s">
        <v>313</v>
      </c>
      <c r="C142" t="s">
        <v>43</v>
      </c>
      <c r="D142">
        <v>52</v>
      </c>
      <c r="E142" t="s">
        <v>1063</v>
      </c>
      <c r="F142" t="s">
        <v>1064</v>
      </c>
      <c r="G142" t="s">
        <v>1049</v>
      </c>
      <c r="H142">
        <v>15</v>
      </c>
      <c r="I142" s="3">
        <v>50</v>
      </c>
      <c r="J142" s="3">
        <v>50</v>
      </c>
      <c r="K142">
        <v>0</v>
      </c>
      <c r="L142" t="b">
        <v>1</v>
      </c>
      <c r="M142" s="4">
        <v>0.81</v>
      </c>
      <c r="O142" s="3" t="s">
        <v>1045</v>
      </c>
      <c r="P142" t="s">
        <v>1029</v>
      </c>
      <c r="Q142" s="3">
        <v>10</v>
      </c>
      <c r="R142">
        <v>12</v>
      </c>
    </row>
    <row r="143" spans="1:18" x14ac:dyDescent="0.25">
      <c r="A143" t="s">
        <v>314</v>
      </c>
      <c r="B143" t="s">
        <v>315</v>
      </c>
      <c r="C143" t="s">
        <v>20</v>
      </c>
      <c r="D143">
        <v>34</v>
      </c>
      <c r="E143" t="s">
        <v>1055</v>
      </c>
      <c r="F143" t="s">
        <v>1056</v>
      </c>
      <c r="G143" t="s">
        <v>1041</v>
      </c>
      <c r="H143">
        <v>5</v>
      </c>
      <c r="I143" s="3" t="s">
        <v>262</v>
      </c>
      <c r="J143" s="3">
        <v>20</v>
      </c>
      <c r="K143">
        <v>2.2000000000000002</v>
      </c>
      <c r="L143" t="b">
        <v>1</v>
      </c>
      <c r="M143" s="4">
        <v>0.8</v>
      </c>
      <c r="O143" s="3" t="s">
        <v>1024</v>
      </c>
      <c r="P143" t="s">
        <v>1029</v>
      </c>
      <c r="Q143" s="3">
        <v>3</v>
      </c>
      <c r="R143">
        <v>3</v>
      </c>
    </row>
    <row r="144" spans="1:18" x14ac:dyDescent="0.25">
      <c r="A144" t="s">
        <v>316</v>
      </c>
      <c r="B144" t="s">
        <v>317</v>
      </c>
      <c r="C144" t="s">
        <v>43</v>
      </c>
      <c r="D144">
        <v>45</v>
      </c>
      <c r="E144" t="s">
        <v>47</v>
      </c>
      <c r="F144" t="s">
        <v>1027</v>
      </c>
      <c r="G144" t="s">
        <v>1033</v>
      </c>
      <c r="H144">
        <v>7</v>
      </c>
      <c r="I144" s="3">
        <v>75</v>
      </c>
      <c r="J144" s="3">
        <v>75</v>
      </c>
      <c r="K144">
        <v>3</v>
      </c>
      <c r="L144" t="b">
        <v>1</v>
      </c>
      <c r="M144" s="4">
        <v>0.67</v>
      </c>
      <c r="O144" s="3" t="s">
        <v>1038</v>
      </c>
      <c r="P144" t="s">
        <v>1029</v>
      </c>
      <c r="Q144" s="3">
        <v>7</v>
      </c>
      <c r="R144">
        <v>8</v>
      </c>
    </row>
    <row r="145" spans="1:18" x14ac:dyDescent="0.25">
      <c r="A145" t="s">
        <v>318</v>
      </c>
      <c r="B145" t="s">
        <v>319</v>
      </c>
      <c r="C145" t="s">
        <v>43</v>
      </c>
      <c r="D145">
        <v>46</v>
      </c>
      <c r="E145" t="s">
        <v>47</v>
      </c>
      <c r="F145" t="s">
        <v>1027</v>
      </c>
      <c r="G145" t="s">
        <v>1050</v>
      </c>
      <c r="H145">
        <v>9</v>
      </c>
      <c r="I145" s="3" t="s">
        <v>82</v>
      </c>
      <c r="J145" s="3">
        <v>20</v>
      </c>
      <c r="K145">
        <v>0</v>
      </c>
      <c r="L145" t="b">
        <v>0</v>
      </c>
      <c r="M145" s="4">
        <v>0.82</v>
      </c>
      <c r="O145" s="3" t="s">
        <v>1024</v>
      </c>
      <c r="P145" t="s">
        <v>1042</v>
      </c>
      <c r="Q145" s="3">
        <v>14</v>
      </c>
      <c r="R145">
        <v>6</v>
      </c>
    </row>
    <row r="146" spans="1:18" x14ac:dyDescent="0.25">
      <c r="A146" t="s">
        <v>320</v>
      </c>
      <c r="B146" t="s">
        <v>321</v>
      </c>
      <c r="C146" t="s">
        <v>43</v>
      </c>
      <c r="D146">
        <v>56</v>
      </c>
      <c r="E146" t="s">
        <v>1063</v>
      </c>
      <c r="F146" t="s">
        <v>1064</v>
      </c>
      <c r="G146" t="s">
        <v>1049</v>
      </c>
      <c r="H146">
        <v>21</v>
      </c>
      <c r="I146" s="3" t="s">
        <v>21</v>
      </c>
      <c r="J146" s="3">
        <v>100</v>
      </c>
      <c r="K146">
        <v>0</v>
      </c>
      <c r="L146" t="b">
        <v>1</v>
      </c>
      <c r="M146" s="2">
        <v>78</v>
      </c>
      <c r="O146" s="3" t="s">
        <v>1038</v>
      </c>
      <c r="P146" t="s">
        <v>1025</v>
      </c>
      <c r="Q146" s="3">
        <v>18</v>
      </c>
      <c r="R146">
        <v>13</v>
      </c>
    </row>
    <row r="147" spans="1:18" x14ac:dyDescent="0.25">
      <c r="A147" t="s">
        <v>322</v>
      </c>
      <c r="B147" t="s">
        <v>323</v>
      </c>
      <c r="C147" t="s">
        <v>20</v>
      </c>
      <c r="D147">
        <v>59</v>
      </c>
      <c r="E147" t="s">
        <v>1030</v>
      </c>
      <c r="F147" t="s">
        <v>1030</v>
      </c>
      <c r="G147" t="s">
        <v>30</v>
      </c>
      <c r="H147">
        <v>7</v>
      </c>
      <c r="I147" s="3" t="s">
        <v>26</v>
      </c>
      <c r="J147" s="3">
        <v>40</v>
      </c>
      <c r="K147">
        <v>1.4</v>
      </c>
      <c r="L147" t="b">
        <v>0</v>
      </c>
      <c r="M147" s="4">
        <v>0.81</v>
      </c>
      <c r="O147" s="3" t="s">
        <v>1045</v>
      </c>
      <c r="P147" t="s">
        <v>1042</v>
      </c>
      <c r="Q147" s="3">
        <v>9</v>
      </c>
      <c r="R147">
        <v>11</v>
      </c>
    </row>
    <row r="148" spans="1:18" x14ac:dyDescent="0.25">
      <c r="A148" t="s">
        <v>324</v>
      </c>
      <c r="B148" t="s">
        <v>325</v>
      </c>
      <c r="C148" t="s">
        <v>20</v>
      </c>
      <c r="D148">
        <v>54</v>
      </c>
      <c r="E148" t="s">
        <v>1065</v>
      </c>
      <c r="F148" t="s">
        <v>1066</v>
      </c>
      <c r="G148" t="s">
        <v>1023</v>
      </c>
      <c r="H148">
        <v>4</v>
      </c>
      <c r="J148" s="3">
        <v>52</v>
      </c>
      <c r="K148">
        <v>1.4</v>
      </c>
      <c r="L148" t="b">
        <v>1</v>
      </c>
      <c r="M148" s="4">
        <v>0.74</v>
      </c>
      <c r="O148" s="3" t="s">
        <v>1045</v>
      </c>
      <c r="P148" t="s">
        <v>1029</v>
      </c>
      <c r="Q148" s="3">
        <v>5</v>
      </c>
      <c r="R148">
        <v>1</v>
      </c>
    </row>
    <row r="149" spans="1:18" x14ac:dyDescent="0.25">
      <c r="A149" t="s">
        <v>326</v>
      </c>
      <c r="B149" t="s">
        <v>327</v>
      </c>
      <c r="C149" t="s">
        <v>43</v>
      </c>
      <c r="D149">
        <v>36</v>
      </c>
      <c r="E149" t="s">
        <v>1030</v>
      </c>
      <c r="F149" t="s">
        <v>1030</v>
      </c>
      <c r="G149" t="s">
        <v>1049</v>
      </c>
      <c r="H149">
        <v>7</v>
      </c>
      <c r="I149" s="3">
        <v>30</v>
      </c>
      <c r="J149" s="3">
        <v>30</v>
      </c>
      <c r="K149">
        <v>0</v>
      </c>
      <c r="L149" t="b">
        <v>0</v>
      </c>
      <c r="M149" s="4">
        <v>0.88</v>
      </c>
      <c r="O149" s="3" t="s">
        <v>1045</v>
      </c>
      <c r="P149" t="s">
        <v>1042</v>
      </c>
      <c r="Q149" s="3">
        <v>7</v>
      </c>
      <c r="R149">
        <v>2</v>
      </c>
    </row>
    <row r="150" spans="1:18" x14ac:dyDescent="0.25">
      <c r="A150" t="s">
        <v>328</v>
      </c>
      <c r="B150" t="s">
        <v>329</v>
      </c>
      <c r="C150" t="s">
        <v>43</v>
      </c>
      <c r="D150">
        <v>25</v>
      </c>
      <c r="E150" t="s">
        <v>1071</v>
      </c>
      <c r="F150" t="s">
        <v>1048</v>
      </c>
      <c r="G150" t="s">
        <v>1041</v>
      </c>
      <c r="H150">
        <v>0</v>
      </c>
      <c r="I150" s="3">
        <v>40</v>
      </c>
      <c r="J150" s="3">
        <v>40</v>
      </c>
      <c r="K150">
        <v>0</v>
      </c>
      <c r="L150" t="b">
        <v>0</v>
      </c>
      <c r="M150" s="4">
        <v>0.9</v>
      </c>
      <c r="O150" s="3" t="s">
        <v>1024</v>
      </c>
      <c r="P150" t="s">
        <v>1042</v>
      </c>
      <c r="Q150" s="3">
        <v>1</v>
      </c>
      <c r="R150">
        <v>2</v>
      </c>
    </row>
    <row r="151" spans="1:18" x14ac:dyDescent="0.25">
      <c r="A151" t="s">
        <v>330</v>
      </c>
      <c r="B151" t="s">
        <v>331</v>
      </c>
      <c r="C151" t="s">
        <v>20</v>
      </c>
      <c r="D151">
        <v>37</v>
      </c>
      <c r="E151" t="s">
        <v>1060</v>
      </c>
      <c r="F151" t="s">
        <v>1061</v>
      </c>
      <c r="G151" t="s">
        <v>1041</v>
      </c>
      <c r="H151">
        <v>15</v>
      </c>
      <c r="I151" s="3" t="s">
        <v>26</v>
      </c>
      <c r="J151" s="3">
        <v>40</v>
      </c>
      <c r="K151">
        <v>2.9</v>
      </c>
      <c r="L151" t="b">
        <v>0</v>
      </c>
      <c r="M151" s="2"/>
      <c r="O151" s="3" t="s">
        <v>1046</v>
      </c>
      <c r="P151" t="s">
        <v>1042</v>
      </c>
      <c r="Q151" s="3">
        <v>6</v>
      </c>
      <c r="R151">
        <v>8</v>
      </c>
    </row>
    <row r="152" spans="1:18" x14ac:dyDescent="0.25">
      <c r="A152" t="s">
        <v>332</v>
      </c>
      <c r="B152" t="s">
        <v>333</v>
      </c>
      <c r="C152" t="s">
        <v>43</v>
      </c>
      <c r="D152">
        <v>41</v>
      </c>
      <c r="E152" t="s">
        <v>1043</v>
      </c>
      <c r="F152" t="s">
        <v>1044</v>
      </c>
      <c r="G152" t="s">
        <v>1041</v>
      </c>
      <c r="H152">
        <v>10</v>
      </c>
      <c r="I152" s="3" t="s">
        <v>37</v>
      </c>
      <c r="J152" s="3">
        <v>40</v>
      </c>
      <c r="K152">
        <v>0</v>
      </c>
      <c r="L152" t="b">
        <v>0</v>
      </c>
      <c r="M152" s="2"/>
      <c r="O152" s="3" t="s">
        <v>1046</v>
      </c>
      <c r="P152" t="s">
        <v>1025</v>
      </c>
      <c r="Q152" s="3">
        <v>6</v>
      </c>
      <c r="R152">
        <v>2</v>
      </c>
    </row>
    <row r="153" spans="1:18" x14ac:dyDescent="0.25">
      <c r="A153" t="s">
        <v>334</v>
      </c>
      <c r="B153" t="s">
        <v>335</v>
      </c>
      <c r="C153" t="s">
        <v>43</v>
      </c>
      <c r="D153">
        <v>29</v>
      </c>
      <c r="E153" t="s">
        <v>1072</v>
      </c>
      <c r="F153" t="s">
        <v>1048</v>
      </c>
      <c r="G153" t="s">
        <v>1041</v>
      </c>
      <c r="H153">
        <v>11</v>
      </c>
      <c r="I153" s="3">
        <v>20</v>
      </c>
      <c r="J153" s="3">
        <v>20</v>
      </c>
      <c r="K153">
        <v>2.7</v>
      </c>
      <c r="L153" t="s">
        <v>111</v>
      </c>
      <c r="M153" s="4">
        <v>0.93</v>
      </c>
      <c r="O153" s="3" t="s">
        <v>1045</v>
      </c>
      <c r="P153" t="s">
        <v>1032</v>
      </c>
      <c r="Q153" s="3">
        <v>13</v>
      </c>
      <c r="R153">
        <v>7</v>
      </c>
    </row>
    <row r="154" spans="1:18" x14ac:dyDescent="0.25">
      <c r="A154" t="s">
        <v>336</v>
      </c>
      <c r="B154" t="s">
        <v>337</v>
      </c>
      <c r="C154" t="s">
        <v>20</v>
      </c>
      <c r="D154">
        <v>55</v>
      </c>
      <c r="E154" t="s">
        <v>1047</v>
      </c>
      <c r="F154" t="s">
        <v>1048</v>
      </c>
      <c r="G154" t="s">
        <v>1028</v>
      </c>
      <c r="H154">
        <v>12</v>
      </c>
      <c r="I154" s="3">
        <v>100</v>
      </c>
      <c r="J154" s="3">
        <v>100</v>
      </c>
      <c r="K154">
        <v>1.8</v>
      </c>
      <c r="L154" t="b">
        <v>1</v>
      </c>
      <c r="M154" s="2"/>
      <c r="O154" s="3" t="s">
        <v>1046</v>
      </c>
      <c r="P154" t="s">
        <v>1032</v>
      </c>
      <c r="Q154" s="3">
        <v>11</v>
      </c>
      <c r="R154">
        <v>3</v>
      </c>
    </row>
    <row r="155" spans="1:18" x14ac:dyDescent="0.25">
      <c r="A155" t="s">
        <v>338</v>
      </c>
      <c r="B155" t="s">
        <v>339</v>
      </c>
      <c r="C155" t="s">
        <v>20</v>
      </c>
      <c r="D155">
        <v>38</v>
      </c>
      <c r="E155" t="s">
        <v>1052</v>
      </c>
      <c r="F155" t="s">
        <v>1053</v>
      </c>
      <c r="G155" t="s">
        <v>1054</v>
      </c>
      <c r="H155">
        <v>20</v>
      </c>
      <c r="I155" s="3" t="s">
        <v>122</v>
      </c>
      <c r="J155" s="3">
        <v>75</v>
      </c>
      <c r="K155">
        <v>1.1000000000000001</v>
      </c>
      <c r="L155" t="s">
        <v>111</v>
      </c>
      <c r="M155" s="4">
        <v>0.71</v>
      </c>
      <c r="O155" s="3" t="s">
        <v>1046</v>
      </c>
      <c r="P155" t="s">
        <v>1042</v>
      </c>
      <c r="Q155" s="3">
        <v>19</v>
      </c>
      <c r="R155">
        <v>7</v>
      </c>
    </row>
    <row r="156" spans="1:18" x14ac:dyDescent="0.25">
      <c r="A156" t="s">
        <v>340</v>
      </c>
      <c r="B156" t="s">
        <v>341</v>
      </c>
      <c r="C156" t="s">
        <v>43</v>
      </c>
      <c r="D156">
        <v>47</v>
      </c>
      <c r="E156" t="s">
        <v>1051</v>
      </c>
      <c r="F156" t="s">
        <v>1059</v>
      </c>
      <c r="G156" t="s">
        <v>1054</v>
      </c>
      <c r="H156">
        <v>29</v>
      </c>
      <c r="I156" s="3" t="s">
        <v>26</v>
      </c>
      <c r="J156" s="3">
        <v>40</v>
      </c>
      <c r="K156">
        <v>4.3</v>
      </c>
      <c r="L156" t="b">
        <v>1</v>
      </c>
      <c r="M156" s="4">
        <v>0.95</v>
      </c>
      <c r="O156" s="3" t="s">
        <v>1024</v>
      </c>
      <c r="P156" t="s">
        <v>1032</v>
      </c>
      <c r="Q156" s="3">
        <v>11</v>
      </c>
      <c r="R156">
        <v>8</v>
      </c>
    </row>
    <row r="157" spans="1:18" x14ac:dyDescent="0.25">
      <c r="A157" t="s">
        <v>342</v>
      </c>
      <c r="B157" t="s">
        <v>343</v>
      </c>
      <c r="C157" t="s">
        <v>43</v>
      </c>
      <c r="D157">
        <v>60</v>
      </c>
      <c r="E157" t="s">
        <v>1057</v>
      </c>
      <c r="F157" t="s">
        <v>1058</v>
      </c>
      <c r="G157" t="s">
        <v>1033</v>
      </c>
      <c r="H157">
        <v>15</v>
      </c>
      <c r="I157" s="3">
        <v>100</v>
      </c>
      <c r="J157" s="3">
        <v>100</v>
      </c>
      <c r="K157">
        <v>1.5</v>
      </c>
      <c r="L157" t="b">
        <v>0</v>
      </c>
      <c r="M157" s="2">
        <v>80</v>
      </c>
      <c r="O157" s="3" t="s">
        <v>1038</v>
      </c>
      <c r="P157" t="s">
        <v>1032</v>
      </c>
      <c r="Q157" s="3">
        <v>8</v>
      </c>
      <c r="R157">
        <v>14</v>
      </c>
    </row>
    <row r="158" spans="1:18" x14ac:dyDescent="0.25">
      <c r="A158" t="s">
        <v>344</v>
      </c>
      <c r="B158" t="s">
        <v>345</v>
      </c>
      <c r="C158" t="s">
        <v>20</v>
      </c>
      <c r="D158">
        <v>43</v>
      </c>
      <c r="E158" t="s">
        <v>1021</v>
      </c>
      <c r="F158" t="s">
        <v>1022</v>
      </c>
      <c r="G158" t="s">
        <v>1041</v>
      </c>
      <c r="H158">
        <v>9</v>
      </c>
      <c r="I158" s="3" t="s">
        <v>82</v>
      </c>
      <c r="J158" s="3">
        <v>20</v>
      </c>
      <c r="K158">
        <v>2.2000000000000002</v>
      </c>
      <c r="L158" t="b">
        <v>0</v>
      </c>
      <c r="M158" s="2"/>
      <c r="O158" s="3" t="s">
        <v>1045</v>
      </c>
      <c r="P158" t="s">
        <v>1042</v>
      </c>
      <c r="Q158" s="3">
        <v>12</v>
      </c>
      <c r="R158">
        <v>5</v>
      </c>
    </row>
    <row r="159" spans="1:18" x14ac:dyDescent="0.25">
      <c r="A159" t="s">
        <v>346</v>
      </c>
      <c r="B159" t="s">
        <v>347</v>
      </c>
      <c r="C159" t="s">
        <v>43</v>
      </c>
      <c r="D159">
        <v>56</v>
      </c>
      <c r="E159" t="s">
        <v>1067</v>
      </c>
      <c r="F159" t="s">
        <v>1068</v>
      </c>
      <c r="G159" t="s">
        <v>1041</v>
      </c>
      <c r="H159">
        <v>10</v>
      </c>
      <c r="I159" s="3">
        <v>100</v>
      </c>
      <c r="J159" s="3">
        <v>100</v>
      </c>
      <c r="K159">
        <v>3.2</v>
      </c>
      <c r="L159" t="b">
        <v>0</v>
      </c>
      <c r="M159" s="4">
        <v>0.62</v>
      </c>
      <c r="O159" s="3" t="s">
        <v>1045</v>
      </c>
      <c r="P159" t="s">
        <v>1042</v>
      </c>
      <c r="Q159" s="3">
        <v>4</v>
      </c>
      <c r="R159">
        <v>1</v>
      </c>
    </row>
    <row r="160" spans="1:18" x14ac:dyDescent="0.25">
      <c r="A160" t="s">
        <v>348</v>
      </c>
      <c r="B160" t="s">
        <v>349</v>
      </c>
      <c r="C160" t="s">
        <v>43</v>
      </c>
      <c r="D160">
        <v>42</v>
      </c>
      <c r="E160" t="s">
        <v>1060</v>
      </c>
      <c r="F160" t="s">
        <v>1061</v>
      </c>
      <c r="G160" t="s">
        <v>1054</v>
      </c>
      <c r="H160">
        <v>2</v>
      </c>
      <c r="I160" s="3" t="s">
        <v>44</v>
      </c>
      <c r="J160" s="3">
        <v>50</v>
      </c>
      <c r="K160">
        <v>1.9</v>
      </c>
      <c r="L160" t="b">
        <v>0</v>
      </c>
      <c r="M160" s="4">
        <v>0.95</v>
      </c>
      <c r="O160" s="3" t="s">
        <v>1024</v>
      </c>
      <c r="P160" t="s">
        <v>1029</v>
      </c>
      <c r="Q160" s="3">
        <v>2</v>
      </c>
      <c r="R160">
        <v>3</v>
      </c>
    </row>
    <row r="161" spans="1:18" x14ac:dyDescent="0.25">
      <c r="A161" t="s">
        <v>350</v>
      </c>
      <c r="B161" t="s">
        <v>351</v>
      </c>
      <c r="C161" t="s">
        <v>20</v>
      </c>
      <c r="D161">
        <v>20</v>
      </c>
      <c r="E161" t="s">
        <v>1072</v>
      </c>
      <c r="F161" t="s">
        <v>1048</v>
      </c>
      <c r="G161" t="s">
        <v>1031</v>
      </c>
      <c r="H161">
        <v>0</v>
      </c>
      <c r="I161" s="3">
        <v>40</v>
      </c>
      <c r="J161" s="3">
        <v>40</v>
      </c>
      <c r="K161">
        <v>2.4</v>
      </c>
      <c r="L161" t="b">
        <v>0</v>
      </c>
      <c r="M161" s="4">
        <v>0.79</v>
      </c>
      <c r="O161" s="3" t="s">
        <v>1024</v>
      </c>
      <c r="P161" t="s">
        <v>1032</v>
      </c>
      <c r="Q161" s="3">
        <v>4</v>
      </c>
      <c r="R161">
        <v>2</v>
      </c>
    </row>
    <row r="162" spans="1:18" x14ac:dyDescent="0.25">
      <c r="A162" t="s">
        <v>352</v>
      </c>
      <c r="B162" t="s">
        <v>353</v>
      </c>
      <c r="C162" t="s">
        <v>20</v>
      </c>
      <c r="D162">
        <v>47</v>
      </c>
      <c r="E162" t="s">
        <v>1039</v>
      </c>
      <c r="F162" t="s">
        <v>1040</v>
      </c>
      <c r="G162" t="s">
        <v>1049</v>
      </c>
      <c r="H162">
        <v>12</v>
      </c>
      <c r="I162" s="3">
        <v>40</v>
      </c>
      <c r="J162" s="3">
        <v>40</v>
      </c>
      <c r="K162">
        <v>4.5</v>
      </c>
      <c r="L162" t="s">
        <v>111</v>
      </c>
      <c r="M162" s="4">
        <v>0.62</v>
      </c>
      <c r="O162" s="3" t="s">
        <v>1046</v>
      </c>
      <c r="P162" t="s">
        <v>1025</v>
      </c>
      <c r="Q162" s="3">
        <v>15</v>
      </c>
      <c r="R162">
        <v>10</v>
      </c>
    </row>
    <row r="163" spans="1:18" x14ac:dyDescent="0.25">
      <c r="A163" t="s">
        <v>354</v>
      </c>
      <c r="B163" t="s">
        <v>355</v>
      </c>
      <c r="C163" t="s">
        <v>43</v>
      </c>
      <c r="D163">
        <v>41</v>
      </c>
      <c r="E163" t="s">
        <v>1047</v>
      </c>
      <c r="F163" t="s">
        <v>1048</v>
      </c>
      <c r="G163" t="s">
        <v>1041</v>
      </c>
      <c r="H163">
        <v>12</v>
      </c>
      <c r="I163" s="3" t="s">
        <v>31</v>
      </c>
      <c r="J163" s="3">
        <v>30</v>
      </c>
      <c r="K163">
        <v>4.0999999999999996</v>
      </c>
      <c r="L163" t="s">
        <v>111</v>
      </c>
      <c r="M163" s="4">
        <v>0.68</v>
      </c>
      <c r="O163" s="3" t="s">
        <v>1045</v>
      </c>
      <c r="P163" t="s">
        <v>1042</v>
      </c>
      <c r="Q163" s="3">
        <v>15</v>
      </c>
      <c r="R163">
        <v>11</v>
      </c>
    </row>
    <row r="164" spans="1:18" x14ac:dyDescent="0.25">
      <c r="A164" t="s">
        <v>356</v>
      </c>
      <c r="B164" t="s">
        <v>357</v>
      </c>
      <c r="C164" t="s">
        <v>43</v>
      </c>
      <c r="D164">
        <v>56</v>
      </c>
      <c r="E164" t="s">
        <v>1039</v>
      </c>
      <c r="F164" t="s">
        <v>1040</v>
      </c>
      <c r="G164" t="s">
        <v>1054</v>
      </c>
      <c r="H164">
        <v>15</v>
      </c>
      <c r="I164" s="3" t="s">
        <v>34</v>
      </c>
      <c r="J164" s="3">
        <v>75</v>
      </c>
      <c r="K164">
        <v>0</v>
      </c>
      <c r="L164" t="s">
        <v>111</v>
      </c>
      <c r="M164" s="2"/>
      <c r="O164" s="3" t="s">
        <v>1038</v>
      </c>
      <c r="P164" t="s">
        <v>1029</v>
      </c>
      <c r="Q164" s="3">
        <v>9</v>
      </c>
      <c r="R164">
        <v>9</v>
      </c>
    </row>
    <row r="165" spans="1:18" x14ac:dyDescent="0.25">
      <c r="A165" t="s">
        <v>358</v>
      </c>
      <c r="B165" t="s">
        <v>359</v>
      </c>
      <c r="C165" t="s">
        <v>43</v>
      </c>
      <c r="D165">
        <v>59</v>
      </c>
      <c r="E165" t="s">
        <v>47</v>
      </c>
      <c r="F165" t="s">
        <v>1027</v>
      </c>
      <c r="G165" t="s">
        <v>1054</v>
      </c>
      <c r="H165">
        <v>29</v>
      </c>
      <c r="I165" s="3" t="s">
        <v>34</v>
      </c>
      <c r="J165" s="3">
        <v>75</v>
      </c>
      <c r="K165">
        <v>2.4</v>
      </c>
      <c r="L165" t="b">
        <v>0</v>
      </c>
      <c r="M165" s="4">
        <v>0.8</v>
      </c>
      <c r="O165" s="3" t="s">
        <v>1024</v>
      </c>
      <c r="P165" t="s">
        <v>1025</v>
      </c>
      <c r="Q165" s="3">
        <v>19</v>
      </c>
      <c r="R165">
        <v>7</v>
      </c>
    </row>
    <row r="166" spans="1:18" x14ac:dyDescent="0.25">
      <c r="A166" t="s">
        <v>360</v>
      </c>
      <c r="B166" t="s">
        <v>361</v>
      </c>
      <c r="C166" t="s">
        <v>43</v>
      </c>
      <c r="D166">
        <v>56</v>
      </c>
      <c r="E166" t="s">
        <v>1052</v>
      </c>
      <c r="F166" t="s">
        <v>1053</v>
      </c>
      <c r="G166" t="s">
        <v>1050</v>
      </c>
      <c r="H166">
        <v>15</v>
      </c>
      <c r="I166" s="3">
        <v>40</v>
      </c>
      <c r="J166" s="3">
        <v>40</v>
      </c>
      <c r="K166">
        <v>3.7</v>
      </c>
      <c r="L166" t="b">
        <v>0</v>
      </c>
      <c r="M166" s="4">
        <v>0.92</v>
      </c>
      <c r="O166" s="3" t="s">
        <v>1038</v>
      </c>
      <c r="P166" t="s">
        <v>1032</v>
      </c>
      <c r="Q166" s="3">
        <v>14</v>
      </c>
      <c r="R166">
        <v>9</v>
      </c>
    </row>
    <row r="167" spans="1:18" x14ac:dyDescent="0.25">
      <c r="A167" t="s">
        <v>362</v>
      </c>
      <c r="B167" t="s">
        <v>363</v>
      </c>
      <c r="C167" t="s">
        <v>20</v>
      </c>
      <c r="D167">
        <v>31</v>
      </c>
      <c r="E167" t="s">
        <v>1067</v>
      </c>
      <c r="F167" t="s">
        <v>1068</v>
      </c>
      <c r="G167" t="s">
        <v>1033</v>
      </c>
      <c r="H167">
        <v>10</v>
      </c>
      <c r="I167" s="3" t="s">
        <v>34</v>
      </c>
      <c r="J167" s="3">
        <v>75</v>
      </c>
      <c r="K167">
        <v>1.3</v>
      </c>
      <c r="L167" t="b">
        <v>1</v>
      </c>
      <c r="M167" s="4">
        <v>0.65</v>
      </c>
      <c r="O167" s="3" t="s">
        <v>1038</v>
      </c>
      <c r="P167" t="s">
        <v>1029</v>
      </c>
      <c r="Q167" s="3">
        <v>1</v>
      </c>
      <c r="R167">
        <v>1</v>
      </c>
    </row>
    <row r="168" spans="1:18" x14ac:dyDescent="0.25">
      <c r="A168" t="s">
        <v>364</v>
      </c>
      <c r="B168" t="s">
        <v>365</v>
      </c>
      <c r="C168" t="s">
        <v>43</v>
      </c>
      <c r="D168">
        <v>60</v>
      </c>
      <c r="E168" t="s">
        <v>1051</v>
      </c>
      <c r="F168" t="s">
        <v>1059</v>
      </c>
      <c r="G168" t="s">
        <v>1028</v>
      </c>
      <c r="H168">
        <v>33</v>
      </c>
      <c r="I168" s="3">
        <v>40</v>
      </c>
      <c r="J168" s="3">
        <v>40</v>
      </c>
      <c r="K168">
        <v>3.6</v>
      </c>
      <c r="L168" t="b">
        <v>1</v>
      </c>
      <c r="M168" s="4">
        <v>0.87</v>
      </c>
      <c r="O168" s="3" t="s">
        <v>1045</v>
      </c>
      <c r="P168" t="s">
        <v>1042</v>
      </c>
      <c r="Q168" s="3">
        <v>13</v>
      </c>
      <c r="R168">
        <v>10</v>
      </c>
    </row>
    <row r="169" spans="1:18" x14ac:dyDescent="0.25">
      <c r="A169" t="s">
        <v>366</v>
      </c>
      <c r="B169" t="s">
        <v>367</v>
      </c>
      <c r="C169" t="s">
        <v>20</v>
      </c>
      <c r="D169">
        <v>31</v>
      </c>
      <c r="E169" t="s">
        <v>1062</v>
      </c>
      <c r="F169" t="s">
        <v>1027</v>
      </c>
      <c r="G169" t="s">
        <v>1033</v>
      </c>
      <c r="H169">
        <v>10</v>
      </c>
      <c r="I169" s="3">
        <v>75</v>
      </c>
      <c r="J169" s="3">
        <v>75</v>
      </c>
      <c r="K169">
        <v>0</v>
      </c>
      <c r="L169" t="s">
        <v>111</v>
      </c>
      <c r="M169" s="4">
        <v>0.7</v>
      </c>
      <c r="O169" s="3" t="s">
        <v>1045</v>
      </c>
      <c r="P169" t="s">
        <v>1025</v>
      </c>
      <c r="Q169" s="3">
        <v>11</v>
      </c>
      <c r="R169">
        <v>9</v>
      </c>
    </row>
    <row r="170" spans="1:18" x14ac:dyDescent="0.25">
      <c r="A170" t="s">
        <v>368</v>
      </c>
      <c r="B170" t="s">
        <v>369</v>
      </c>
      <c r="C170" t="s">
        <v>43</v>
      </c>
      <c r="D170">
        <v>60</v>
      </c>
      <c r="E170" t="s">
        <v>1047</v>
      </c>
      <c r="F170" t="s">
        <v>1048</v>
      </c>
      <c r="G170" t="s">
        <v>1050</v>
      </c>
      <c r="H170">
        <v>20</v>
      </c>
      <c r="I170" s="3">
        <v>40</v>
      </c>
      <c r="J170" s="3">
        <v>40</v>
      </c>
      <c r="K170">
        <v>1.4</v>
      </c>
      <c r="L170" t="s">
        <v>111</v>
      </c>
      <c r="M170" s="2">
        <v>87</v>
      </c>
      <c r="O170" s="3" t="s">
        <v>1024</v>
      </c>
      <c r="P170" t="s">
        <v>1042</v>
      </c>
      <c r="Q170" s="3">
        <v>18</v>
      </c>
      <c r="R170">
        <v>17</v>
      </c>
    </row>
    <row r="171" spans="1:18" x14ac:dyDescent="0.25">
      <c r="A171" t="s">
        <v>370</v>
      </c>
      <c r="B171" t="s">
        <v>371</v>
      </c>
      <c r="C171" t="s">
        <v>43</v>
      </c>
      <c r="D171">
        <v>46</v>
      </c>
      <c r="E171" t="s">
        <v>1063</v>
      </c>
      <c r="F171" t="s">
        <v>1064</v>
      </c>
      <c r="G171" t="s">
        <v>1054</v>
      </c>
      <c r="H171">
        <v>23</v>
      </c>
      <c r="I171" s="3">
        <v>20</v>
      </c>
      <c r="J171" s="3">
        <v>20</v>
      </c>
      <c r="K171">
        <v>2.9</v>
      </c>
      <c r="L171" t="b">
        <v>0</v>
      </c>
      <c r="M171" s="4">
        <v>0.72</v>
      </c>
      <c r="O171" s="3" t="s">
        <v>1045</v>
      </c>
      <c r="P171" t="s">
        <v>1032</v>
      </c>
      <c r="Q171" s="3">
        <v>19</v>
      </c>
      <c r="R171">
        <v>5</v>
      </c>
    </row>
    <row r="172" spans="1:18" x14ac:dyDescent="0.25">
      <c r="A172" t="s">
        <v>372</v>
      </c>
      <c r="B172" t="s">
        <v>373</v>
      </c>
      <c r="C172" t="s">
        <v>20</v>
      </c>
      <c r="D172">
        <v>41</v>
      </c>
      <c r="E172" t="s">
        <v>1036</v>
      </c>
      <c r="F172" t="s">
        <v>1037</v>
      </c>
      <c r="G172" t="s">
        <v>1023</v>
      </c>
      <c r="H172">
        <v>10</v>
      </c>
      <c r="I172" s="3">
        <v>40</v>
      </c>
      <c r="J172" s="3">
        <v>40</v>
      </c>
      <c r="K172">
        <v>2.8</v>
      </c>
      <c r="L172" t="b">
        <v>0</v>
      </c>
      <c r="M172" s="4">
        <v>0.8</v>
      </c>
      <c r="O172" s="3" t="s">
        <v>1045</v>
      </c>
      <c r="P172" t="s">
        <v>1025</v>
      </c>
      <c r="Q172" s="3">
        <v>4</v>
      </c>
      <c r="R172">
        <v>1</v>
      </c>
    </row>
    <row r="173" spans="1:18" x14ac:dyDescent="0.25">
      <c r="A173" t="s">
        <v>374</v>
      </c>
      <c r="B173" t="s">
        <v>375</v>
      </c>
      <c r="C173" t="s">
        <v>43</v>
      </c>
      <c r="D173">
        <v>34</v>
      </c>
      <c r="E173" t="s">
        <v>1052</v>
      </c>
      <c r="F173" t="s">
        <v>1053</v>
      </c>
      <c r="G173" t="s">
        <v>1049</v>
      </c>
      <c r="H173">
        <v>0</v>
      </c>
      <c r="I173" s="3">
        <v>20</v>
      </c>
      <c r="J173" s="3">
        <v>20</v>
      </c>
      <c r="K173">
        <v>1.7</v>
      </c>
      <c r="L173" t="b">
        <v>0</v>
      </c>
      <c r="M173" s="4">
        <v>0.66</v>
      </c>
      <c r="O173" s="3" t="s">
        <v>1045</v>
      </c>
      <c r="P173" t="s">
        <v>1032</v>
      </c>
      <c r="Q173" s="3">
        <v>1</v>
      </c>
      <c r="R173">
        <v>3</v>
      </c>
    </row>
    <row r="174" spans="1:18" x14ac:dyDescent="0.25">
      <c r="A174" t="s">
        <v>376</v>
      </c>
      <c r="B174" t="s">
        <v>377</v>
      </c>
      <c r="C174" t="s">
        <v>20</v>
      </c>
      <c r="D174">
        <v>42</v>
      </c>
      <c r="E174" t="s">
        <v>1036</v>
      </c>
      <c r="F174" t="s">
        <v>1037</v>
      </c>
      <c r="G174" t="s">
        <v>1031</v>
      </c>
      <c r="H174">
        <v>7</v>
      </c>
      <c r="I174" s="3" t="s">
        <v>37</v>
      </c>
      <c r="J174" s="3">
        <v>40</v>
      </c>
      <c r="K174">
        <v>0</v>
      </c>
      <c r="L174" t="b">
        <v>1</v>
      </c>
      <c r="M174" s="2"/>
      <c r="O174" s="3" t="s">
        <v>1038</v>
      </c>
      <c r="P174" t="s">
        <v>1032</v>
      </c>
      <c r="Q174" s="3">
        <v>14</v>
      </c>
      <c r="R174">
        <v>5</v>
      </c>
    </row>
    <row r="175" spans="1:18" x14ac:dyDescent="0.25">
      <c r="A175" t="s">
        <v>378</v>
      </c>
      <c r="B175" t="s">
        <v>379</v>
      </c>
      <c r="C175" t="s">
        <v>43</v>
      </c>
      <c r="D175">
        <v>31</v>
      </c>
      <c r="E175" t="s">
        <v>47</v>
      </c>
      <c r="F175" t="s">
        <v>1027</v>
      </c>
      <c r="G175" t="s">
        <v>1041</v>
      </c>
      <c r="H175">
        <v>4</v>
      </c>
      <c r="I175" s="3" t="s">
        <v>34</v>
      </c>
      <c r="J175" s="3">
        <v>75</v>
      </c>
      <c r="K175">
        <v>1.1000000000000001</v>
      </c>
      <c r="L175" t="b">
        <v>1</v>
      </c>
      <c r="M175" s="4">
        <v>0.64</v>
      </c>
      <c r="O175" s="3" t="s">
        <v>1024</v>
      </c>
      <c r="P175" t="s">
        <v>1029</v>
      </c>
      <c r="Q175" s="3">
        <v>4</v>
      </c>
      <c r="R175">
        <v>2</v>
      </c>
    </row>
    <row r="176" spans="1:18" x14ac:dyDescent="0.25">
      <c r="A176" t="s">
        <v>380</v>
      </c>
      <c r="B176" t="s">
        <v>381</v>
      </c>
      <c r="C176" t="s">
        <v>43</v>
      </c>
      <c r="D176">
        <v>29</v>
      </c>
      <c r="E176" t="s">
        <v>1057</v>
      </c>
      <c r="F176" t="s">
        <v>1058</v>
      </c>
      <c r="G176" t="s">
        <v>1049</v>
      </c>
      <c r="H176">
        <v>9</v>
      </c>
      <c r="I176" s="3">
        <v>20</v>
      </c>
      <c r="J176" s="3">
        <v>20</v>
      </c>
      <c r="K176">
        <v>2.4</v>
      </c>
      <c r="L176" t="b">
        <v>0</v>
      </c>
      <c r="M176" s="4">
        <v>0.68</v>
      </c>
      <c r="O176" s="3" t="s">
        <v>1046</v>
      </c>
      <c r="P176" t="s">
        <v>1042</v>
      </c>
      <c r="Q176" s="3">
        <v>11</v>
      </c>
      <c r="R176">
        <v>5</v>
      </c>
    </row>
    <row r="177" spans="1:18" x14ac:dyDescent="0.25">
      <c r="A177" t="s">
        <v>382</v>
      </c>
      <c r="B177" t="s">
        <v>383</v>
      </c>
      <c r="C177" t="s">
        <v>20</v>
      </c>
      <c r="D177">
        <v>57</v>
      </c>
      <c r="E177" t="s">
        <v>1026</v>
      </c>
      <c r="F177" t="s">
        <v>1027</v>
      </c>
      <c r="G177" t="s">
        <v>1031</v>
      </c>
      <c r="H177">
        <v>17</v>
      </c>
      <c r="I177" s="3">
        <v>20</v>
      </c>
      <c r="J177" s="3">
        <v>20</v>
      </c>
      <c r="K177">
        <v>3.6</v>
      </c>
      <c r="L177" t="b">
        <v>0</v>
      </c>
      <c r="M177" s="4">
        <v>0.63</v>
      </c>
      <c r="O177" s="3" t="s">
        <v>1038</v>
      </c>
      <c r="P177" t="s">
        <v>1025</v>
      </c>
      <c r="Q177" s="3">
        <v>10</v>
      </c>
      <c r="R177">
        <v>4</v>
      </c>
    </row>
    <row r="178" spans="1:18" x14ac:dyDescent="0.25">
      <c r="A178" t="s">
        <v>384</v>
      </c>
      <c r="B178" t="s">
        <v>385</v>
      </c>
      <c r="C178" t="s">
        <v>43</v>
      </c>
      <c r="D178">
        <v>47</v>
      </c>
      <c r="E178" t="s">
        <v>1055</v>
      </c>
      <c r="F178" t="s">
        <v>1056</v>
      </c>
      <c r="G178" t="s">
        <v>1054</v>
      </c>
      <c r="H178">
        <v>8</v>
      </c>
      <c r="I178" s="3">
        <v>20</v>
      </c>
      <c r="J178" s="3">
        <v>20</v>
      </c>
      <c r="K178">
        <v>4.5</v>
      </c>
      <c r="L178" t="b">
        <v>1</v>
      </c>
      <c r="M178" s="4">
        <v>0.72</v>
      </c>
      <c r="O178" s="3" t="s">
        <v>1045</v>
      </c>
      <c r="P178" t="s">
        <v>1032</v>
      </c>
      <c r="Q178" s="3">
        <v>12</v>
      </c>
      <c r="R178">
        <v>10</v>
      </c>
    </row>
    <row r="179" spans="1:18" x14ac:dyDescent="0.25">
      <c r="A179" t="s">
        <v>386</v>
      </c>
      <c r="B179" t="s">
        <v>387</v>
      </c>
      <c r="C179" t="s">
        <v>43</v>
      </c>
      <c r="D179">
        <v>47</v>
      </c>
      <c r="E179" t="s">
        <v>1067</v>
      </c>
      <c r="F179" t="s">
        <v>1068</v>
      </c>
      <c r="G179" t="s">
        <v>30</v>
      </c>
      <c r="H179">
        <v>14</v>
      </c>
      <c r="I179" s="3" t="s">
        <v>31</v>
      </c>
      <c r="J179" s="3">
        <v>30</v>
      </c>
      <c r="K179">
        <v>0</v>
      </c>
      <c r="L179" t="b">
        <v>1</v>
      </c>
      <c r="M179" s="4">
        <v>0.86</v>
      </c>
      <c r="O179" s="3" t="s">
        <v>1038</v>
      </c>
      <c r="P179" t="s">
        <v>1032</v>
      </c>
      <c r="Q179" s="3">
        <v>14</v>
      </c>
      <c r="R179">
        <v>3</v>
      </c>
    </row>
    <row r="180" spans="1:18" x14ac:dyDescent="0.25">
      <c r="A180" t="s">
        <v>388</v>
      </c>
      <c r="B180" t="s">
        <v>389</v>
      </c>
      <c r="C180" t="s">
        <v>20</v>
      </c>
      <c r="D180">
        <v>45</v>
      </c>
      <c r="E180" t="s">
        <v>1063</v>
      </c>
      <c r="F180" t="s">
        <v>1064</v>
      </c>
      <c r="G180" t="s">
        <v>1031</v>
      </c>
      <c r="H180">
        <v>21</v>
      </c>
      <c r="I180" s="3" t="s">
        <v>73</v>
      </c>
      <c r="J180" s="3">
        <v>30</v>
      </c>
      <c r="K180">
        <v>1.5</v>
      </c>
      <c r="L180" t="b">
        <v>1</v>
      </c>
      <c r="M180" s="4">
        <v>0.73</v>
      </c>
      <c r="O180" s="3" t="s">
        <v>1045</v>
      </c>
      <c r="P180" t="s">
        <v>1025</v>
      </c>
      <c r="Q180" s="3">
        <v>15</v>
      </c>
      <c r="R180">
        <v>17</v>
      </c>
    </row>
    <row r="181" spans="1:18" x14ac:dyDescent="0.25">
      <c r="A181" t="s">
        <v>390</v>
      </c>
      <c r="B181" t="s">
        <v>391</v>
      </c>
      <c r="C181" t="s">
        <v>43</v>
      </c>
      <c r="D181">
        <v>24</v>
      </c>
      <c r="E181" t="s">
        <v>1043</v>
      </c>
      <c r="F181" t="s">
        <v>1044</v>
      </c>
      <c r="G181" t="s">
        <v>1035</v>
      </c>
      <c r="H181">
        <v>1</v>
      </c>
      <c r="I181" s="3" t="s">
        <v>31</v>
      </c>
      <c r="J181" s="3">
        <v>30</v>
      </c>
      <c r="K181">
        <v>3.7</v>
      </c>
      <c r="L181" t="s">
        <v>111</v>
      </c>
      <c r="M181" s="4">
        <v>0.95</v>
      </c>
      <c r="O181" s="3" t="s">
        <v>1045</v>
      </c>
      <c r="P181" t="s">
        <v>1032</v>
      </c>
      <c r="Q181" s="3">
        <v>3</v>
      </c>
      <c r="R181">
        <v>1</v>
      </c>
    </row>
    <row r="182" spans="1:18" x14ac:dyDescent="0.25">
      <c r="A182" t="s">
        <v>392</v>
      </c>
      <c r="B182" t="s">
        <v>393</v>
      </c>
      <c r="C182" t="s">
        <v>20</v>
      </c>
      <c r="D182">
        <v>31</v>
      </c>
      <c r="E182" t="s">
        <v>1047</v>
      </c>
      <c r="F182" t="s">
        <v>1048</v>
      </c>
      <c r="G182" t="s">
        <v>1028</v>
      </c>
      <c r="H182">
        <v>12</v>
      </c>
      <c r="I182" s="3">
        <v>20</v>
      </c>
      <c r="J182" s="3">
        <v>20</v>
      </c>
      <c r="K182">
        <v>2.2999999999999998</v>
      </c>
      <c r="L182" t="b">
        <v>0</v>
      </c>
      <c r="M182" s="4">
        <v>0.9</v>
      </c>
      <c r="O182" s="3" t="s">
        <v>1038</v>
      </c>
      <c r="P182" t="s">
        <v>1029</v>
      </c>
      <c r="Q182" s="3">
        <v>11</v>
      </c>
      <c r="R182">
        <v>6</v>
      </c>
    </row>
    <row r="183" spans="1:18" x14ac:dyDescent="0.25">
      <c r="A183" t="s">
        <v>394</v>
      </c>
      <c r="B183" t="s">
        <v>395</v>
      </c>
      <c r="C183" t="s">
        <v>20</v>
      </c>
      <c r="D183">
        <v>20</v>
      </c>
      <c r="E183" t="s">
        <v>1071</v>
      </c>
      <c r="F183" t="s">
        <v>1048</v>
      </c>
      <c r="G183" t="s">
        <v>1031</v>
      </c>
      <c r="H183">
        <v>2</v>
      </c>
      <c r="I183" s="3" t="s">
        <v>82</v>
      </c>
      <c r="J183" s="3">
        <v>20</v>
      </c>
      <c r="K183">
        <v>2.8</v>
      </c>
      <c r="L183" t="b">
        <v>0</v>
      </c>
      <c r="M183" s="4">
        <v>0.78</v>
      </c>
      <c r="O183" s="3" t="s">
        <v>1024</v>
      </c>
      <c r="P183" t="s">
        <v>1029</v>
      </c>
      <c r="Q183" s="3">
        <v>5</v>
      </c>
      <c r="R183">
        <v>1</v>
      </c>
    </row>
    <row r="184" spans="1:18" x14ac:dyDescent="0.25">
      <c r="A184" t="s">
        <v>396</v>
      </c>
      <c r="B184" t="s">
        <v>397</v>
      </c>
      <c r="C184" t="s">
        <v>43</v>
      </c>
      <c r="D184">
        <v>38</v>
      </c>
      <c r="E184" t="s">
        <v>1052</v>
      </c>
      <c r="F184" t="s">
        <v>1053</v>
      </c>
      <c r="G184" t="s">
        <v>1033</v>
      </c>
      <c r="H184">
        <v>3</v>
      </c>
      <c r="I184" s="3">
        <v>30</v>
      </c>
      <c r="J184" s="3">
        <v>30</v>
      </c>
      <c r="K184">
        <v>3.5</v>
      </c>
      <c r="L184" t="s">
        <v>111</v>
      </c>
      <c r="M184" s="4">
        <v>0.97</v>
      </c>
      <c r="O184" s="3" t="s">
        <v>1045</v>
      </c>
      <c r="P184" t="s">
        <v>1029</v>
      </c>
      <c r="Q184" s="3">
        <v>3</v>
      </c>
      <c r="R184">
        <v>1</v>
      </c>
    </row>
    <row r="185" spans="1:18" x14ac:dyDescent="0.25">
      <c r="A185" t="s">
        <v>398</v>
      </c>
      <c r="B185" t="s">
        <v>399</v>
      </c>
      <c r="C185" t="s">
        <v>20</v>
      </c>
      <c r="D185">
        <v>33</v>
      </c>
      <c r="E185" t="s">
        <v>1030</v>
      </c>
      <c r="F185" t="s">
        <v>1030</v>
      </c>
      <c r="G185" t="s">
        <v>1049</v>
      </c>
      <c r="H185">
        <v>11</v>
      </c>
      <c r="J185" s="3">
        <v>52</v>
      </c>
      <c r="K185">
        <v>0</v>
      </c>
      <c r="L185" t="b">
        <v>1</v>
      </c>
      <c r="M185" s="4">
        <v>0.65</v>
      </c>
      <c r="O185" s="3" t="s">
        <v>1024</v>
      </c>
      <c r="P185" t="s">
        <v>1029</v>
      </c>
      <c r="Q185" s="3">
        <v>12</v>
      </c>
      <c r="R185">
        <v>7</v>
      </c>
    </row>
    <row r="186" spans="1:18" x14ac:dyDescent="0.25">
      <c r="A186" t="s">
        <v>400</v>
      </c>
      <c r="B186" t="s">
        <v>401</v>
      </c>
      <c r="C186" t="s">
        <v>20</v>
      </c>
      <c r="D186">
        <v>31</v>
      </c>
      <c r="E186" t="s">
        <v>1026</v>
      </c>
      <c r="F186" t="s">
        <v>1027</v>
      </c>
      <c r="G186" t="s">
        <v>1033</v>
      </c>
      <c r="H186">
        <v>4</v>
      </c>
      <c r="I186" s="3">
        <v>40</v>
      </c>
      <c r="J186" s="3">
        <v>40</v>
      </c>
      <c r="K186">
        <v>3.2</v>
      </c>
      <c r="L186" t="b">
        <v>1</v>
      </c>
      <c r="M186" s="4">
        <v>0.78</v>
      </c>
      <c r="O186" s="3" t="s">
        <v>1046</v>
      </c>
      <c r="P186" t="s">
        <v>1032</v>
      </c>
      <c r="Q186" s="3">
        <v>4</v>
      </c>
      <c r="R186">
        <v>1</v>
      </c>
    </row>
    <row r="187" spans="1:18" x14ac:dyDescent="0.25">
      <c r="A187" t="s">
        <v>402</v>
      </c>
      <c r="B187" t="s">
        <v>403</v>
      </c>
      <c r="C187" t="s">
        <v>43</v>
      </c>
      <c r="D187">
        <v>41</v>
      </c>
      <c r="E187" t="s">
        <v>1072</v>
      </c>
      <c r="F187" t="s">
        <v>1048</v>
      </c>
      <c r="G187" t="s">
        <v>1035</v>
      </c>
      <c r="H187">
        <v>21</v>
      </c>
      <c r="I187" s="3">
        <v>50</v>
      </c>
      <c r="J187" s="3">
        <v>50</v>
      </c>
      <c r="K187">
        <v>3.3</v>
      </c>
      <c r="L187" t="b">
        <v>1</v>
      </c>
      <c r="M187" s="4">
        <v>0.65</v>
      </c>
      <c r="O187" s="3" t="s">
        <v>1045</v>
      </c>
      <c r="P187" t="s">
        <v>1025</v>
      </c>
      <c r="Q187" s="3">
        <v>20</v>
      </c>
      <c r="R187">
        <v>4</v>
      </c>
    </row>
    <row r="188" spans="1:18" x14ac:dyDescent="0.25">
      <c r="A188" t="s">
        <v>404</v>
      </c>
      <c r="B188" t="s">
        <v>405</v>
      </c>
      <c r="C188" t="s">
        <v>43</v>
      </c>
      <c r="D188">
        <v>54</v>
      </c>
      <c r="E188" t="s">
        <v>1043</v>
      </c>
      <c r="F188" t="s">
        <v>1044</v>
      </c>
      <c r="G188" t="s">
        <v>1033</v>
      </c>
      <c r="H188">
        <v>0</v>
      </c>
      <c r="I188" s="3" t="s">
        <v>82</v>
      </c>
      <c r="J188" s="3">
        <v>20</v>
      </c>
      <c r="K188">
        <v>4.9000000000000004</v>
      </c>
      <c r="L188" t="b">
        <v>0</v>
      </c>
      <c r="M188" s="2"/>
      <c r="O188" s="3" t="s">
        <v>1024</v>
      </c>
      <c r="P188" t="s">
        <v>1025</v>
      </c>
      <c r="Q188" s="3">
        <v>2</v>
      </c>
      <c r="R188">
        <v>4</v>
      </c>
    </row>
    <row r="189" spans="1:18" x14ac:dyDescent="0.25">
      <c r="A189" t="s">
        <v>406</v>
      </c>
      <c r="B189" t="s">
        <v>407</v>
      </c>
      <c r="C189" t="s">
        <v>43</v>
      </c>
      <c r="D189">
        <v>50</v>
      </c>
      <c r="E189" t="s">
        <v>1071</v>
      </c>
      <c r="F189" t="s">
        <v>1048</v>
      </c>
      <c r="G189" t="s">
        <v>1041</v>
      </c>
      <c r="H189">
        <v>6</v>
      </c>
      <c r="I189" s="3">
        <v>30</v>
      </c>
      <c r="J189" s="3">
        <v>30</v>
      </c>
      <c r="K189">
        <v>2.2000000000000002</v>
      </c>
      <c r="L189" t="b">
        <v>1</v>
      </c>
      <c r="M189" s="4">
        <v>0.95</v>
      </c>
      <c r="O189" s="3" t="s">
        <v>1024</v>
      </c>
      <c r="P189" t="s">
        <v>1025</v>
      </c>
      <c r="Q189" s="3">
        <v>13</v>
      </c>
      <c r="R189">
        <v>2</v>
      </c>
    </row>
    <row r="190" spans="1:18" x14ac:dyDescent="0.25">
      <c r="A190" t="s">
        <v>408</v>
      </c>
      <c r="B190" t="s">
        <v>409</v>
      </c>
      <c r="C190" t="s">
        <v>43</v>
      </c>
      <c r="D190">
        <v>48</v>
      </c>
      <c r="E190" t="s">
        <v>1057</v>
      </c>
      <c r="F190" t="s">
        <v>1058</v>
      </c>
      <c r="G190" t="s">
        <v>1035</v>
      </c>
      <c r="H190">
        <v>18</v>
      </c>
      <c r="I190" s="3" t="s">
        <v>37</v>
      </c>
      <c r="J190" s="3">
        <v>40</v>
      </c>
      <c r="K190">
        <v>2.4</v>
      </c>
      <c r="L190" t="b">
        <v>1</v>
      </c>
      <c r="M190" s="4">
        <v>0.88</v>
      </c>
      <c r="O190" s="3" t="s">
        <v>1046</v>
      </c>
      <c r="P190" t="s">
        <v>1025</v>
      </c>
      <c r="Q190" s="3">
        <v>14</v>
      </c>
      <c r="R190">
        <v>2</v>
      </c>
    </row>
    <row r="191" spans="1:18" x14ac:dyDescent="0.25">
      <c r="A191" t="s">
        <v>410</v>
      </c>
      <c r="B191" t="s">
        <v>411</v>
      </c>
      <c r="C191" t="s">
        <v>20</v>
      </c>
      <c r="D191">
        <v>49</v>
      </c>
      <c r="E191" t="s">
        <v>1071</v>
      </c>
      <c r="F191" t="s">
        <v>1048</v>
      </c>
      <c r="G191" t="s">
        <v>1031</v>
      </c>
      <c r="H191">
        <v>10</v>
      </c>
      <c r="J191" s="3">
        <v>52</v>
      </c>
      <c r="K191">
        <v>1.8</v>
      </c>
      <c r="L191" t="b">
        <v>0</v>
      </c>
      <c r="M191" s="2"/>
      <c r="O191" s="3" t="s">
        <v>1024</v>
      </c>
      <c r="P191" t="s">
        <v>1042</v>
      </c>
      <c r="Q191" s="3">
        <v>5</v>
      </c>
      <c r="R191">
        <v>5</v>
      </c>
    </row>
    <row r="192" spans="1:18" x14ac:dyDescent="0.25">
      <c r="A192" t="s">
        <v>412</v>
      </c>
      <c r="B192" t="s">
        <v>413</v>
      </c>
      <c r="C192" t="s">
        <v>43</v>
      </c>
      <c r="D192">
        <v>21</v>
      </c>
      <c r="E192" t="s">
        <v>1051</v>
      </c>
      <c r="F192" t="s">
        <v>1059</v>
      </c>
      <c r="G192" t="s">
        <v>1031</v>
      </c>
      <c r="H192">
        <v>1</v>
      </c>
      <c r="I192" s="3">
        <v>75</v>
      </c>
      <c r="J192" s="3">
        <v>75</v>
      </c>
      <c r="K192">
        <v>4.5999999999999996</v>
      </c>
      <c r="L192" t="b">
        <v>0</v>
      </c>
      <c r="M192" s="4">
        <v>0.92</v>
      </c>
      <c r="O192" s="3" t="s">
        <v>1024</v>
      </c>
      <c r="P192" t="s">
        <v>1025</v>
      </c>
      <c r="Q192" s="3">
        <v>2</v>
      </c>
      <c r="R192">
        <v>1</v>
      </c>
    </row>
    <row r="193" spans="1:18" x14ac:dyDescent="0.25">
      <c r="A193" t="s">
        <v>414</v>
      </c>
      <c r="B193" t="s">
        <v>415</v>
      </c>
      <c r="C193" t="s">
        <v>43</v>
      </c>
      <c r="D193">
        <v>58</v>
      </c>
      <c r="E193" t="s">
        <v>1026</v>
      </c>
      <c r="F193" t="s">
        <v>1027</v>
      </c>
      <c r="G193" t="s">
        <v>1031</v>
      </c>
      <c r="H193">
        <v>20</v>
      </c>
      <c r="I193" s="3">
        <v>75</v>
      </c>
      <c r="J193" s="3">
        <v>75</v>
      </c>
      <c r="K193">
        <v>2.8</v>
      </c>
      <c r="L193" t="s">
        <v>111</v>
      </c>
      <c r="M193" s="4">
        <v>0.75</v>
      </c>
      <c r="O193" s="3" t="s">
        <v>1046</v>
      </c>
      <c r="P193" t="s">
        <v>1042</v>
      </c>
      <c r="Q193" s="3">
        <v>13</v>
      </c>
      <c r="R193">
        <v>1</v>
      </c>
    </row>
    <row r="194" spans="1:18" x14ac:dyDescent="0.25">
      <c r="A194" t="s">
        <v>416</v>
      </c>
      <c r="B194" t="s">
        <v>211</v>
      </c>
      <c r="C194" t="s">
        <v>43</v>
      </c>
      <c r="D194">
        <v>41</v>
      </c>
      <c r="E194" t="s">
        <v>1021</v>
      </c>
      <c r="F194" t="s">
        <v>1022</v>
      </c>
      <c r="G194" t="s">
        <v>1054</v>
      </c>
      <c r="H194">
        <v>10</v>
      </c>
      <c r="I194" s="3" t="s">
        <v>31</v>
      </c>
      <c r="J194" s="3">
        <v>30</v>
      </c>
      <c r="K194">
        <v>1.4</v>
      </c>
      <c r="L194" t="b">
        <v>0</v>
      </c>
      <c r="M194" s="4">
        <v>0.74</v>
      </c>
      <c r="O194" s="3" t="s">
        <v>1045</v>
      </c>
      <c r="P194" t="s">
        <v>1042</v>
      </c>
      <c r="Q194" s="3">
        <v>2</v>
      </c>
      <c r="R194">
        <v>4</v>
      </c>
    </row>
    <row r="195" spans="1:18" x14ac:dyDescent="0.25">
      <c r="A195" t="s">
        <v>417</v>
      </c>
      <c r="B195" t="s">
        <v>418</v>
      </c>
      <c r="C195" t="s">
        <v>20</v>
      </c>
      <c r="D195">
        <v>58</v>
      </c>
      <c r="E195" t="s">
        <v>1060</v>
      </c>
      <c r="F195" t="s">
        <v>1061</v>
      </c>
      <c r="G195" t="s">
        <v>1023</v>
      </c>
      <c r="H195">
        <v>25</v>
      </c>
      <c r="I195" s="3" t="s">
        <v>31</v>
      </c>
      <c r="J195" s="3">
        <v>30</v>
      </c>
      <c r="K195">
        <v>4.2</v>
      </c>
      <c r="L195" t="b">
        <v>1</v>
      </c>
      <c r="M195" s="4">
        <v>0.71</v>
      </c>
      <c r="O195" s="3" t="s">
        <v>1024</v>
      </c>
      <c r="P195" t="s">
        <v>1029</v>
      </c>
      <c r="Q195" s="3">
        <v>11</v>
      </c>
      <c r="R195">
        <v>13</v>
      </c>
    </row>
    <row r="196" spans="1:18" x14ac:dyDescent="0.25">
      <c r="A196" t="s">
        <v>419</v>
      </c>
      <c r="B196" t="s">
        <v>420</v>
      </c>
      <c r="C196" t="s">
        <v>20</v>
      </c>
      <c r="D196">
        <v>50</v>
      </c>
      <c r="E196" t="s">
        <v>1067</v>
      </c>
      <c r="F196" t="s">
        <v>1068</v>
      </c>
      <c r="G196" t="s">
        <v>1031</v>
      </c>
      <c r="H196">
        <v>20</v>
      </c>
      <c r="I196" s="3" t="s">
        <v>37</v>
      </c>
      <c r="J196" s="3">
        <v>40</v>
      </c>
      <c r="K196">
        <v>3.6</v>
      </c>
      <c r="L196" t="b">
        <v>1</v>
      </c>
      <c r="M196" s="4">
        <v>0.89</v>
      </c>
      <c r="O196" s="3" t="s">
        <v>1024</v>
      </c>
      <c r="P196" t="s">
        <v>1042</v>
      </c>
      <c r="Q196" s="3">
        <v>17</v>
      </c>
      <c r="R196">
        <v>2</v>
      </c>
    </row>
    <row r="197" spans="1:18" x14ac:dyDescent="0.25">
      <c r="A197" t="s">
        <v>421</v>
      </c>
      <c r="B197" t="s">
        <v>422</v>
      </c>
      <c r="C197" t="s">
        <v>43</v>
      </c>
      <c r="D197">
        <v>52</v>
      </c>
      <c r="E197" t="s">
        <v>1039</v>
      </c>
      <c r="F197" t="s">
        <v>1040</v>
      </c>
      <c r="G197" t="s">
        <v>1033</v>
      </c>
      <c r="H197">
        <v>33</v>
      </c>
      <c r="I197" s="3" t="s">
        <v>177</v>
      </c>
      <c r="J197" s="3">
        <v>100</v>
      </c>
      <c r="K197">
        <v>1.6</v>
      </c>
      <c r="L197" t="b">
        <v>0</v>
      </c>
      <c r="M197" s="4">
        <v>0.66</v>
      </c>
      <c r="O197" s="3" t="s">
        <v>1024</v>
      </c>
      <c r="P197" t="s">
        <v>1032</v>
      </c>
      <c r="Q197" s="3">
        <v>14</v>
      </c>
      <c r="R197">
        <v>17</v>
      </c>
    </row>
    <row r="198" spans="1:18" x14ac:dyDescent="0.25">
      <c r="A198" t="s">
        <v>423</v>
      </c>
      <c r="B198" t="s">
        <v>424</v>
      </c>
      <c r="C198" t="s">
        <v>43</v>
      </c>
      <c r="D198">
        <v>34</v>
      </c>
      <c r="E198" t="s">
        <v>1036</v>
      </c>
      <c r="F198" t="s">
        <v>1037</v>
      </c>
      <c r="G198" t="s">
        <v>1041</v>
      </c>
      <c r="H198">
        <v>6</v>
      </c>
      <c r="I198" s="3" t="s">
        <v>177</v>
      </c>
      <c r="J198" s="3">
        <v>100</v>
      </c>
      <c r="K198">
        <v>2</v>
      </c>
      <c r="L198" t="s">
        <v>111</v>
      </c>
      <c r="M198" s="2"/>
      <c r="O198" s="3" t="s">
        <v>1038</v>
      </c>
      <c r="P198" t="s">
        <v>1042</v>
      </c>
      <c r="Q198" s="3">
        <v>13</v>
      </c>
      <c r="R198">
        <v>1</v>
      </c>
    </row>
    <row r="199" spans="1:18" x14ac:dyDescent="0.25">
      <c r="A199" t="s">
        <v>425</v>
      </c>
      <c r="B199" t="s">
        <v>426</v>
      </c>
      <c r="C199" t="s">
        <v>43</v>
      </c>
      <c r="D199">
        <v>32</v>
      </c>
      <c r="E199" t="s">
        <v>1063</v>
      </c>
      <c r="F199" t="s">
        <v>1064</v>
      </c>
      <c r="G199" t="s">
        <v>1035</v>
      </c>
      <c r="H199">
        <v>11</v>
      </c>
      <c r="I199" s="3">
        <v>40</v>
      </c>
      <c r="J199" s="3">
        <v>40</v>
      </c>
      <c r="K199">
        <v>4.3</v>
      </c>
      <c r="L199" t="b">
        <v>1</v>
      </c>
      <c r="M199" s="4">
        <v>0.86</v>
      </c>
      <c r="O199" s="3" t="s">
        <v>1046</v>
      </c>
      <c r="P199" t="s">
        <v>1029</v>
      </c>
      <c r="Q199" s="3">
        <v>9</v>
      </c>
      <c r="R199">
        <v>2</v>
      </c>
    </row>
    <row r="200" spans="1:18" x14ac:dyDescent="0.25">
      <c r="A200" t="s">
        <v>427</v>
      </c>
      <c r="B200" t="s">
        <v>428</v>
      </c>
      <c r="C200" t="s">
        <v>20</v>
      </c>
      <c r="D200">
        <v>50</v>
      </c>
      <c r="E200" t="s">
        <v>1055</v>
      </c>
      <c r="F200" t="s">
        <v>1056</v>
      </c>
      <c r="G200" t="s">
        <v>1031</v>
      </c>
      <c r="H200">
        <v>28</v>
      </c>
      <c r="I200" s="3" t="s">
        <v>177</v>
      </c>
      <c r="J200" s="3">
        <v>100</v>
      </c>
      <c r="K200">
        <v>4.9000000000000004</v>
      </c>
      <c r="L200" t="b">
        <v>1</v>
      </c>
      <c r="M200" s="4">
        <v>0.86</v>
      </c>
      <c r="O200" s="3" t="s">
        <v>1038</v>
      </c>
      <c r="P200" t="s">
        <v>1042</v>
      </c>
      <c r="Q200" s="3">
        <v>12</v>
      </c>
      <c r="R200">
        <v>3</v>
      </c>
    </row>
    <row r="201" spans="1:18" x14ac:dyDescent="0.25">
      <c r="A201" t="s">
        <v>429</v>
      </c>
      <c r="B201" t="s">
        <v>430</v>
      </c>
      <c r="C201" t="s">
        <v>20</v>
      </c>
      <c r="D201">
        <v>39</v>
      </c>
      <c r="E201" t="s">
        <v>1047</v>
      </c>
      <c r="F201" t="s">
        <v>1048</v>
      </c>
      <c r="G201" t="s">
        <v>1041</v>
      </c>
      <c r="H201">
        <v>11</v>
      </c>
      <c r="I201" s="3">
        <v>100</v>
      </c>
      <c r="J201" s="3">
        <v>100</v>
      </c>
      <c r="K201">
        <v>3.5</v>
      </c>
      <c r="L201" t="b">
        <v>1</v>
      </c>
      <c r="M201" s="4">
        <v>0.82</v>
      </c>
      <c r="O201" s="3" t="s">
        <v>1046</v>
      </c>
      <c r="P201" t="s">
        <v>1032</v>
      </c>
      <c r="Q201" s="3">
        <v>12</v>
      </c>
      <c r="R201">
        <v>2</v>
      </c>
    </row>
    <row r="202" spans="1:18" x14ac:dyDescent="0.25">
      <c r="A202" t="s">
        <v>431</v>
      </c>
      <c r="B202" t="s">
        <v>432</v>
      </c>
      <c r="C202" t="s">
        <v>20</v>
      </c>
      <c r="D202">
        <v>25</v>
      </c>
      <c r="E202" t="s">
        <v>1072</v>
      </c>
      <c r="F202" t="s">
        <v>1048</v>
      </c>
      <c r="G202" t="s">
        <v>30</v>
      </c>
      <c r="H202">
        <v>2</v>
      </c>
      <c r="I202" s="3">
        <v>100</v>
      </c>
      <c r="J202" s="3">
        <v>100</v>
      </c>
      <c r="K202">
        <v>2.4</v>
      </c>
      <c r="L202" t="s">
        <v>111</v>
      </c>
      <c r="M202" s="2">
        <v>87</v>
      </c>
      <c r="O202" s="3" t="s">
        <v>1045</v>
      </c>
      <c r="P202" t="s">
        <v>1032</v>
      </c>
      <c r="Q202" s="3">
        <v>1</v>
      </c>
      <c r="R202">
        <v>1</v>
      </c>
    </row>
    <row r="203" spans="1:18" x14ac:dyDescent="0.25">
      <c r="A203" t="s">
        <v>433</v>
      </c>
      <c r="B203" t="s">
        <v>434</v>
      </c>
      <c r="C203" t="s">
        <v>20</v>
      </c>
      <c r="D203">
        <v>55</v>
      </c>
      <c r="E203" t="s">
        <v>1069</v>
      </c>
      <c r="F203" t="s">
        <v>1070</v>
      </c>
      <c r="G203" t="s">
        <v>1035</v>
      </c>
      <c r="H203">
        <v>7</v>
      </c>
      <c r="I203" s="3">
        <v>100</v>
      </c>
      <c r="J203" s="3">
        <v>100</v>
      </c>
      <c r="K203">
        <v>1.7</v>
      </c>
      <c r="L203" t="b">
        <v>1</v>
      </c>
      <c r="M203" s="4">
        <v>0.8</v>
      </c>
      <c r="O203" s="3" t="s">
        <v>1045</v>
      </c>
      <c r="P203" t="s">
        <v>1032</v>
      </c>
      <c r="Q203" s="3">
        <v>14</v>
      </c>
      <c r="R203">
        <v>4</v>
      </c>
    </row>
    <row r="204" spans="1:18" x14ac:dyDescent="0.25">
      <c r="A204" t="s">
        <v>435</v>
      </c>
      <c r="B204" t="s">
        <v>436</v>
      </c>
      <c r="C204" t="s">
        <v>43</v>
      </c>
      <c r="D204">
        <v>42</v>
      </c>
      <c r="E204" t="s">
        <v>1021</v>
      </c>
      <c r="F204" t="s">
        <v>1022</v>
      </c>
      <c r="G204" t="s">
        <v>1054</v>
      </c>
      <c r="H204">
        <v>10</v>
      </c>
      <c r="I204" s="3" t="s">
        <v>21</v>
      </c>
      <c r="J204" s="3">
        <v>100</v>
      </c>
      <c r="K204">
        <v>4.5999999999999996</v>
      </c>
      <c r="L204" t="b">
        <v>1</v>
      </c>
      <c r="M204" s="4">
        <v>0.71</v>
      </c>
      <c r="O204" s="3" t="s">
        <v>1024</v>
      </c>
      <c r="P204" t="s">
        <v>1029</v>
      </c>
      <c r="Q204" s="3">
        <v>15</v>
      </c>
      <c r="R204">
        <v>10</v>
      </c>
    </row>
    <row r="205" spans="1:18" x14ac:dyDescent="0.25">
      <c r="A205" t="s">
        <v>437</v>
      </c>
      <c r="B205" t="s">
        <v>438</v>
      </c>
      <c r="C205" t="s">
        <v>43</v>
      </c>
      <c r="D205">
        <v>43</v>
      </c>
      <c r="E205" t="s">
        <v>1060</v>
      </c>
      <c r="F205" t="s">
        <v>1061</v>
      </c>
      <c r="G205" t="s">
        <v>1028</v>
      </c>
      <c r="H205">
        <v>6</v>
      </c>
      <c r="I205" s="3">
        <v>50</v>
      </c>
      <c r="J205" s="3">
        <v>50</v>
      </c>
      <c r="K205">
        <v>2.4</v>
      </c>
      <c r="L205" t="b">
        <v>0</v>
      </c>
      <c r="M205" s="4">
        <v>0.77</v>
      </c>
      <c r="O205" s="3" t="s">
        <v>1046</v>
      </c>
      <c r="P205" t="s">
        <v>1029</v>
      </c>
      <c r="Q205" s="3">
        <v>6</v>
      </c>
      <c r="R205">
        <v>9</v>
      </c>
    </row>
    <row r="206" spans="1:18" x14ac:dyDescent="0.25">
      <c r="A206" t="s">
        <v>439</v>
      </c>
      <c r="B206" t="s">
        <v>440</v>
      </c>
      <c r="C206" t="s">
        <v>43</v>
      </c>
      <c r="D206">
        <v>54</v>
      </c>
      <c r="E206" t="s">
        <v>1021</v>
      </c>
      <c r="F206" t="s">
        <v>1022</v>
      </c>
      <c r="G206" t="s">
        <v>1054</v>
      </c>
      <c r="H206">
        <v>29</v>
      </c>
      <c r="I206" s="3" t="s">
        <v>31</v>
      </c>
      <c r="J206" s="3">
        <v>30</v>
      </c>
      <c r="K206">
        <v>1.7</v>
      </c>
      <c r="L206" t="b">
        <v>0</v>
      </c>
      <c r="M206" s="2">
        <v>68</v>
      </c>
      <c r="O206" s="3" t="s">
        <v>1045</v>
      </c>
      <c r="P206" t="s">
        <v>1025</v>
      </c>
      <c r="Q206" s="3">
        <v>19</v>
      </c>
      <c r="R206">
        <v>2</v>
      </c>
    </row>
    <row r="207" spans="1:18" x14ac:dyDescent="0.25">
      <c r="A207" t="s">
        <v>441</v>
      </c>
      <c r="B207" t="s">
        <v>442</v>
      </c>
      <c r="C207" t="s">
        <v>20</v>
      </c>
      <c r="D207">
        <v>21</v>
      </c>
      <c r="E207" t="s">
        <v>1065</v>
      </c>
      <c r="F207" t="s">
        <v>1066</v>
      </c>
      <c r="G207" t="s">
        <v>1031</v>
      </c>
      <c r="H207">
        <v>0</v>
      </c>
      <c r="I207" s="3">
        <v>20</v>
      </c>
      <c r="J207" s="3">
        <v>20</v>
      </c>
      <c r="K207">
        <v>1.8</v>
      </c>
      <c r="L207" t="b">
        <v>0</v>
      </c>
      <c r="M207" s="4">
        <v>0.91</v>
      </c>
      <c r="O207" s="3" t="s">
        <v>1046</v>
      </c>
      <c r="P207" t="s">
        <v>1029</v>
      </c>
      <c r="Q207" s="3">
        <v>4</v>
      </c>
      <c r="R207">
        <v>1</v>
      </c>
    </row>
    <row r="208" spans="1:18" x14ac:dyDescent="0.25">
      <c r="A208" t="s">
        <v>443</v>
      </c>
      <c r="B208" t="s">
        <v>444</v>
      </c>
      <c r="C208" t="s">
        <v>43</v>
      </c>
      <c r="D208">
        <v>46</v>
      </c>
      <c r="E208" t="s">
        <v>1062</v>
      </c>
      <c r="F208" t="s">
        <v>1027</v>
      </c>
      <c r="G208" t="s">
        <v>1049</v>
      </c>
      <c r="H208">
        <v>5</v>
      </c>
      <c r="I208" s="3">
        <v>20</v>
      </c>
      <c r="J208" s="3">
        <v>20</v>
      </c>
      <c r="K208">
        <v>2.2000000000000002</v>
      </c>
      <c r="L208" t="b">
        <v>0</v>
      </c>
      <c r="M208" s="4">
        <v>0.75</v>
      </c>
      <c r="O208" s="3" t="s">
        <v>1045</v>
      </c>
      <c r="P208" t="s">
        <v>1032</v>
      </c>
      <c r="Q208" s="3">
        <v>1</v>
      </c>
      <c r="R208">
        <v>5</v>
      </c>
    </row>
    <row r="209" spans="1:18" x14ac:dyDescent="0.25">
      <c r="A209" t="s">
        <v>445</v>
      </c>
      <c r="B209" t="s">
        <v>446</v>
      </c>
      <c r="C209" t="s">
        <v>20</v>
      </c>
      <c r="D209">
        <v>30</v>
      </c>
      <c r="E209" t="s">
        <v>1072</v>
      </c>
      <c r="F209" t="s">
        <v>1048</v>
      </c>
      <c r="G209" t="s">
        <v>1023</v>
      </c>
      <c r="H209">
        <v>11</v>
      </c>
      <c r="I209" s="3">
        <v>40</v>
      </c>
      <c r="J209" s="3">
        <v>40</v>
      </c>
      <c r="K209">
        <v>1</v>
      </c>
      <c r="L209" t="b">
        <v>0</v>
      </c>
      <c r="M209" s="4">
        <v>0.9</v>
      </c>
      <c r="O209" s="3" t="s">
        <v>1038</v>
      </c>
      <c r="P209" t="s">
        <v>1032</v>
      </c>
      <c r="Q209" s="3">
        <v>11</v>
      </c>
      <c r="R209">
        <v>1</v>
      </c>
    </row>
    <row r="210" spans="1:18" x14ac:dyDescent="0.25">
      <c r="A210" t="s">
        <v>447</v>
      </c>
      <c r="B210" t="s">
        <v>448</v>
      </c>
      <c r="C210" t="s">
        <v>43</v>
      </c>
      <c r="D210">
        <v>36</v>
      </c>
      <c r="E210" t="s">
        <v>1069</v>
      </c>
      <c r="F210" t="s">
        <v>1070</v>
      </c>
      <c r="G210" t="s">
        <v>1035</v>
      </c>
      <c r="H210">
        <v>11</v>
      </c>
      <c r="I210" s="3" t="s">
        <v>122</v>
      </c>
      <c r="J210" s="3">
        <v>75</v>
      </c>
      <c r="K210">
        <v>3.2</v>
      </c>
      <c r="L210" t="b">
        <v>0</v>
      </c>
      <c r="M210" s="2">
        <v>93</v>
      </c>
      <c r="O210" s="3" t="s">
        <v>1045</v>
      </c>
      <c r="P210" t="s">
        <v>1029</v>
      </c>
      <c r="Q210" s="3">
        <v>10</v>
      </c>
      <c r="R210">
        <v>3</v>
      </c>
    </row>
    <row r="211" spans="1:18" x14ac:dyDescent="0.25">
      <c r="A211" t="s">
        <v>449</v>
      </c>
      <c r="B211" t="s">
        <v>450</v>
      </c>
      <c r="C211" t="s">
        <v>20</v>
      </c>
      <c r="D211">
        <v>47</v>
      </c>
      <c r="E211" t="s">
        <v>1030</v>
      </c>
      <c r="F211" t="s">
        <v>1030</v>
      </c>
      <c r="G211" t="s">
        <v>1041</v>
      </c>
      <c r="H211">
        <v>15</v>
      </c>
      <c r="I211" s="3">
        <v>40</v>
      </c>
      <c r="J211" s="3">
        <v>40</v>
      </c>
      <c r="K211">
        <v>2.1</v>
      </c>
      <c r="L211" t="b">
        <v>1</v>
      </c>
      <c r="M211" s="4">
        <v>0.94</v>
      </c>
      <c r="O211" s="3" t="s">
        <v>1038</v>
      </c>
      <c r="P211" t="s">
        <v>1042</v>
      </c>
      <c r="Q211" s="3">
        <v>8</v>
      </c>
      <c r="R211">
        <v>10</v>
      </c>
    </row>
    <row r="212" spans="1:18" x14ac:dyDescent="0.25">
      <c r="A212" t="s">
        <v>451</v>
      </c>
      <c r="B212" t="s">
        <v>452</v>
      </c>
      <c r="C212" t="s">
        <v>20</v>
      </c>
      <c r="D212">
        <v>43</v>
      </c>
      <c r="E212" t="s">
        <v>1062</v>
      </c>
      <c r="F212" t="s">
        <v>1027</v>
      </c>
      <c r="G212" t="s">
        <v>1028</v>
      </c>
      <c r="H212">
        <v>1</v>
      </c>
      <c r="I212" s="3" t="s">
        <v>64</v>
      </c>
      <c r="J212" s="3">
        <v>50</v>
      </c>
      <c r="K212">
        <v>4.5999999999999996</v>
      </c>
      <c r="L212" t="b">
        <v>1</v>
      </c>
      <c r="M212" s="2">
        <v>64</v>
      </c>
      <c r="O212" s="3" t="s">
        <v>1045</v>
      </c>
      <c r="P212" t="s">
        <v>1029</v>
      </c>
      <c r="Q212" s="3">
        <v>4</v>
      </c>
      <c r="R212">
        <v>2</v>
      </c>
    </row>
    <row r="213" spans="1:18" x14ac:dyDescent="0.25">
      <c r="A213" t="s">
        <v>453</v>
      </c>
      <c r="B213" t="s">
        <v>454</v>
      </c>
      <c r="C213" t="s">
        <v>43</v>
      </c>
      <c r="D213">
        <v>57</v>
      </c>
      <c r="E213" t="s">
        <v>1051</v>
      </c>
      <c r="F213" t="s">
        <v>1059</v>
      </c>
      <c r="G213" t="s">
        <v>1050</v>
      </c>
      <c r="H213">
        <v>8</v>
      </c>
      <c r="I213" s="3" t="s">
        <v>82</v>
      </c>
      <c r="J213" s="3">
        <v>20</v>
      </c>
      <c r="K213">
        <v>0</v>
      </c>
      <c r="L213" t="b">
        <v>1</v>
      </c>
      <c r="M213" s="4">
        <v>0.84</v>
      </c>
      <c r="O213" s="3" t="s">
        <v>1024</v>
      </c>
      <c r="P213" t="s">
        <v>1029</v>
      </c>
      <c r="Q213" s="3">
        <v>8</v>
      </c>
      <c r="R213">
        <v>5</v>
      </c>
    </row>
    <row r="214" spans="1:18" x14ac:dyDescent="0.25">
      <c r="A214" t="s">
        <v>455</v>
      </c>
      <c r="B214" t="s">
        <v>456</v>
      </c>
      <c r="C214" t="s">
        <v>43</v>
      </c>
      <c r="D214">
        <v>52</v>
      </c>
      <c r="E214" t="s">
        <v>1021</v>
      </c>
      <c r="F214" t="s">
        <v>1022</v>
      </c>
      <c r="G214" t="s">
        <v>1035</v>
      </c>
      <c r="H214">
        <v>30</v>
      </c>
      <c r="I214" s="3" t="s">
        <v>82</v>
      </c>
      <c r="J214" s="3">
        <v>20</v>
      </c>
      <c r="K214">
        <v>2.8</v>
      </c>
      <c r="L214" t="s">
        <v>111</v>
      </c>
      <c r="M214" s="4">
        <v>0.87</v>
      </c>
      <c r="O214" s="3" t="s">
        <v>1038</v>
      </c>
      <c r="P214" t="s">
        <v>1032</v>
      </c>
      <c r="Q214" s="3">
        <v>12</v>
      </c>
      <c r="R214">
        <v>5</v>
      </c>
    </row>
    <row r="215" spans="1:18" x14ac:dyDescent="0.25">
      <c r="A215" t="s">
        <v>457</v>
      </c>
      <c r="B215" t="s">
        <v>458</v>
      </c>
      <c r="C215" t="s">
        <v>43</v>
      </c>
      <c r="D215">
        <v>41</v>
      </c>
      <c r="E215" t="s">
        <v>1030</v>
      </c>
      <c r="F215" t="s">
        <v>1030</v>
      </c>
      <c r="G215" t="s">
        <v>1023</v>
      </c>
      <c r="H215">
        <v>8</v>
      </c>
      <c r="I215" s="3" t="s">
        <v>26</v>
      </c>
      <c r="J215" s="3">
        <v>40</v>
      </c>
      <c r="K215">
        <v>0</v>
      </c>
      <c r="L215" t="b">
        <v>0</v>
      </c>
      <c r="M215" s="4">
        <v>0.64</v>
      </c>
      <c r="O215" s="3" t="s">
        <v>1045</v>
      </c>
      <c r="P215" t="s">
        <v>1025</v>
      </c>
      <c r="Q215" s="3">
        <v>14</v>
      </c>
      <c r="R215">
        <v>4</v>
      </c>
    </row>
    <row r="216" spans="1:18" x14ac:dyDescent="0.25">
      <c r="A216" t="s">
        <v>459</v>
      </c>
      <c r="B216" t="s">
        <v>460</v>
      </c>
      <c r="C216" t="s">
        <v>20</v>
      </c>
      <c r="D216">
        <v>22</v>
      </c>
      <c r="E216" t="s">
        <v>1039</v>
      </c>
      <c r="F216" t="s">
        <v>1040</v>
      </c>
      <c r="G216" t="s">
        <v>1035</v>
      </c>
      <c r="H216">
        <v>0</v>
      </c>
      <c r="I216" s="3">
        <v>100</v>
      </c>
      <c r="J216" s="3">
        <v>100</v>
      </c>
      <c r="K216">
        <v>2.7</v>
      </c>
      <c r="L216" t="b">
        <v>1</v>
      </c>
      <c r="M216" s="4">
        <v>0.64</v>
      </c>
      <c r="O216" s="3" t="s">
        <v>1024</v>
      </c>
      <c r="P216" t="s">
        <v>1032</v>
      </c>
      <c r="Q216" s="3">
        <v>1</v>
      </c>
      <c r="R216">
        <v>1</v>
      </c>
    </row>
    <row r="217" spans="1:18" x14ac:dyDescent="0.25">
      <c r="A217" t="s">
        <v>461</v>
      </c>
      <c r="B217" t="s">
        <v>462</v>
      </c>
      <c r="C217" t="s">
        <v>43</v>
      </c>
      <c r="D217">
        <v>41</v>
      </c>
      <c r="E217" t="s">
        <v>1055</v>
      </c>
      <c r="F217" t="s">
        <v>1056</v>
      </c>
      <c r="G217" t="s">
        <v>1035</v>
      </c>
      <c r="H217">
        <v>12</v>
      </c>
      <c r="I217" s="3" t="s">
        <v>82</v>
      </c>
      <c r="J217" s="3">
        <v>20</v>
      </c>
      <c r="K217">
        <v>0</v>
      </c>
      <c r="L217" t="b">
        <v>1</v>
      </c>
      <c r="M217" s="4">
        <v>0.8</v>
      </c>
      <c r="O217" s="3" t="s">
        <v>1038</v>
      </c>
      <c r="P217" t="s">
        <v>1025</v>
      </c>
      <c r="Q217" s="3">
        <v>8</v>
      </c>
      <c r="R217">
        <v>13</v>
      </c>
    </row>
    <row r="218" spans="1:18" x14ac:dyDescent="0.25">
      <c r="A218" t="s">
        <v>463</v>
      </c>
      <c r="B218" t="s">
        <v>464</v>
      </c>
      <c r="C218" t="s">
        <v>20</v>
      </c>
      <c r="D218">
        <v>58</v>
      </c>
      <c r="E218" t="s">
        <v>1072</v>
      </c>
      <c r="F218" t="s">
        <v>1048</v>
      </c>
      <c r="G218" t="s">
        <v>1028</v>
      </c>
      <c r="H218">
        <v>4</v>
      </c>
      <c r="I218" s="3" t="s">
        <v>44</v>
      </c>
      <c r="J218" s="3">
        <v>50</v>
      </c>
      <c r="K218">
        <v>3.1</v>
      </c>
      <c r="L218" t="b">
        <v>0</v>
      </c>
      <c r="M218" s="4">
        <v>0.9</v>
      </c>
      <c r="O218" s="3" t="s">
        <v>1024</v>
      </c>
      <c r="P218" t="s">
        <v>1032</v>
      </c>
      <c r="Q218" s="3">
        <v>2</v>
      </c>
      <c r="R218">
        <v>1</v>
      </c>
    </row>
    <row r="219" spans="1:18" x14ac:dyDescent="0.25">
      <c r="A219" t="s">
        <v>465</v>
      </c>
      <c r="B219" t="s">
        <v>466</v>
      </c>
      <c r="C219" t="s">
        <v>43</v>
      </c>
      <c r="D219">
        <v>39</v>
      </c>
      <c r="E219" t="s">
        <v>1051</v>
      </c>
      <c r="F219" t="s">
        <v>1059</v>
      </c>
      <c r="G219" t="s">
        <v>1033</v>
      </c>
      <c r="H219">
        <v>14</v>
      </c>
      <c r="I219" s="3" t="s">
        <v>21</v>
      </c>
      <c r="J219" s="3">
        <v>100</v>
      </c>
      <c r="K219">
        <v>0</v>
      </c>
      <c r="L219" t="b">
        <v>1</v>
      </c>
      <c r="M219" s="4">
        <v>0.92</v>
      </c>
      <c r="O219" s="3" t="s">
        <v>1046</v>
      </c>
      <c r="P219" t="s">
        <v>1029</v>
      </c>
      <c r="Q219" s="3">
        <v>7</v>
      </c>
      <c r="R219">
        <v>9</v>
      </c>
    </row>
    <row r="220" spans="1:18" x14ac:dyDescent="0.25">
      <c r="A220" t="s">
        <v>467</v>
      </c>
      <c r="B220" t="s">
        <v>468</v>
      </c>
      <c r="C220" t="s">
        <v>43</v>
      </c>
      <c r="D220">
        <v>32</v>
      </c>
      <c r="E220" t="s">
        <v>1039</v>
      </c>
      <c r="F220" t="s">
        <v>1040</v>
      </c>
      <c r="G220" t="s">
        <v>1031</v>
      </c>
      <c r="H220">
        <v>14</v>
      </c>
      <c r="J220" s="3">
        <v>52</v>
      </c>
      <c r="K220">
        <v>2.4</v>
      </c>
      <c r="L220" t="b">
        <v>0</v>
      </c>
      <c r="M220" s="4">
        <v>0.96</v>
      </c>
      <c r="O220" s="3" t="s">
        <v>1046</v>
      </c>
      <c r="P220" t="s">
        <v>1032</v>
      </c>
      <c r="Q220" s="3">
        <v>14</v>
      </c>
      <c r="R220">
        <v>3</v>
      </c>
    </row>
    <row r="221" spans="1:18" x14ac:dyDescent="0.25">
      <c r="A221" t="s">
        <v>469</v>
      </c>
      <c r="B221" t="s">
        <v>470</v>
      </c>
      <c r="C221" t="s">
        <v>43</v>
      </c>
      <c r="D221">
        <v>37</v>
      </c>
      <c r="E221" t="s">
        <v>1062</v>
      </c>
      <c r="F221" t="s">
        <v>1027</v>
      </c>
      <c r="G221" t="s">
        <v>1049</v>
      </c>
      <c r="H221">
        <v>2</v>
      </c>
      <c r="I221" s="3" t="s">
        <v>31</v>
      </c>
      <c r="J221" s="3">
        <v>30</v>
      </c>
      <c r="K221">
        <v>2.2999999999999998</v>
      </c>
      <c r="L221" t="b">
        <v>1</v>
      </c>
      <c r="M221" s="2"/>
      <c r="O221" s="3" t="s">
        <v>1038</v>
      </c>
      <c r="P221" t="s">
        <v>1032</v>
      </c>
      <c r="Q221" s="3">
        <v>4</v>
      </c>
      <c r="R221">
        <v>4</v>
      </c>
    </row>
    <row r="222" spans="1:18" x14ac:dyDescent="0.25">
      <c r="A222" t="s">
        <v>471</v>
      </c>
      <c r="B222" t="s">
        <v>472</v>
      </c>
      <c r="C222" t="s">
        <v>20</v>
      </c>
      <c r="D222">
        <v>21</v>
      </c>
      <c r="E222" t="s">
        <v>1069</v>
      </c>
      <c r="F222" t="s">
        <v>1070</v>
      </c>
      <c r="G222" t="s">
        <v>1050</v>
      </c>
      <c r="H222">
        <v>2</v>
      </c>
      <c r="I222" s="3">
        <v>100</v>
      </c>
      <c r="J222" s="3">
        <v>100</v>
      </c>
      <c r="K222">
        <v>2.4</v>
      </c>
      <c r="L222" t="b">
        <v>1</v>
      </c>
      <c r="M222" s="2"/>
      <c r="O222" s="3" t="s">
        <v>1045</v>
      </c>
      <c r="P222" t="s">
        <v>1032</v>
      </c>
      <c r="Q222" s="3">
        <v>3</v>
      </c>
      <c r="R222">
        <v>1</v>
      </c>
    </row>
    <row r="223" spans="1:18" x14ac:dyDescent="0.25">
      <c r="A223" t="s">
        <v>473</v>
      </c>
      <c r="B223" t="s">
        <v>474</v>
      </c>
      <c r="C223" t="s">
        <v>43</v>
      </c>
      <c r="D223">
        <v>41</v>
      </c>
      <c r="E223" t="s">
        <v>1051</v>
      </c>
      <c r="F223" t="s">
        <v>1059</v>
      </c>
      <c r="G223" t="s">
        <v>1035</v>
      </c>
      <c r="H223">
        <v>4</v>
      </c>
      <c r="I223" s="3">
        <v>75</v>
      </c>
      <c r="J223" s="3">
        <v>75</v>
      </c>
      <c r="K223">
        <v>2.6</v>
      </c>
      <c r="L223" t="b">
        <v>0</v>
      </c>
      <c r="M223" s="4">
        <v>0.85</v>
      </c>
      <c r="O223" s="3" t="s">
        <v>1038</v>
      </c>
      <c r="P223" t="s">
        <v>1029</v>
      </c>
      <c r="Q223" s="3">
        <v>4</v>
      </c>
      <c r="R223">
        <v>1</v>
      </c>
    </row>
    <row r="224" spans="1:18" x14ac:dyDescent="0.25">
      <c r="A224" t="s">
        <v>475</v>
      </c>
      <c r="B224" t="s">
        <v>476</v>
      </c>
      <c r="C224" t="s">
        <v>20</v>
      </c>
      <c r="D224">
        <v>21</v>
      </c>
      <c r="E224" t="s">
        <v>1062</v>
      </c>
      <c r="F224" t="s">
        <v>1027</v>
      </c>
      <c r="G224" t="s">
        <v>30</v>
      </c>
      <c r="H224">
        <v>0</v>
      </c>
      <c r="I224" s="3" t="s">
        <v>37</v>
      </c>
      <c r="J224" s="3">
        <v>40</v>
      </c>
      <c r="K224">
        <v>1.1000000000000001</v>
      </c>
      <c r="L224" t="b">
        <v>0</v>
      </c>
      <c r="M224" s="4">
        <v>0.79</v>
      </c>
      <c r="O224" s="3" t="s">
        <v>1024</v>
      </c>
      <c r="P224" t="s">
        <v>1029</v>
      </c>
      <c r="Q224" s="3">
        <v>5</v>
      </c>
      <c r="R224">
        <v>2</v>
      </c>
    </row>
    <row r="225" spans="1:18" x14ac:dyDescent="0.25">
      <c r="A225" t="s">
        <v>477</v>
      </c>
      <c r="B225" t="s">
        <v>478</v>
      </c>
      <c r="C225" t="s">
        <v>20</v>
      </c>
      <c r="D225">
        <v>58</v>
      </c>
      <c r="E225" t="s">
        <v>1069</v>
      </c>
      <c r="F225" t="s">
        <v>1070</v>
      </c>
      <c r="G225" t="s">
        <v>1035</v>
      </c>
      <c r="H225">
        <v>9</v>
      </c>
      <c r="I225" s="3">
        <v>30</v>
      </c>
      <c r="J225" s="3">
        <v>30</v>
      </c>
      <c r="K225">
        <v>0</v>
      </c>
      <c r="L225" t="b">
        <v>1</v>
      </c>
      <c r="M225" s="4">
        <v>0.65</v>
      </c>
      <c r="O225" s="3" t="s">
        <v>1045</v>
      </c>
      <c r="P225" t="s">
        <v>1029</v>
      </c>
      <c r="Q225" s="3">
        <v>15</v>
      </c>
      <c r="R225">
        <v>6</v>
      </c>
    </row>
    <row r="226" spans="1:18" x14ac:dyDescent="0.25">
      <c r="A226" t="s">
        <v>479</v>
      </c>
      <c r="B226" t="s">
        <v>480</v>
      </c>
      <c r="C226" t="s">
        <v>43</v>
      </c>
      <c r="D226">
        <v>60</v>
      </c>
      <c r="E226" t="s">
        <v>1062</v>
      </c>
      <c r="F226" t="s">
        <v>1027</v>
      </c>
      <c r="G226" t="s">
        <v>1035</v>
      </c>
      <c r="H226">
        <v>3</v>
      </c>
      <c r="I226" s="3">
        <v>40</v>
      </c>
      <c r="J226" s="3">
        <v>40</v>
      </c>
      <c r="K226">
        <v>4.7</v>
      </c>
      <c r="L226" t="b">
        <v>0</v>
      </c>
      <c r="M226" s="4">
        <v>0.63</v>
      </c>
      <c r="O226" s="3" t="s">
        <v>1046</v>
      </c>
      <c r="P226" t="s">
        <v>1029</v>
      </c>
      <c r="Q226" s="3">
        <v>1</v>
      </c>
      <c r="R226">
        <v>5</v>
      </c>
    </row>
    <row r="227" spans="1:18" x14ac:dyDescent="0.25">
      <c r="A227" t="s">
        <v>481</v>
      </c>
      <c r="B227" t="s">
        <v>482</v>
      </c>
      <c r="C227" t="s">
        <v>43</v>
      </c>
      <c r="D227">
        <v>27</v>
      </c>
      <c r="E227" t="s">
        <v>1067</v>
      </c>
      <c r="F227" t="s">
        <v>1068</v>
      </c>
      <c r="G227" t="s">
        <v>1033</v>
      </c>
      <c r="H227">
        <v>2</v>
      </c>
      <c r="I227" s="3" t="s">
        <v>26</v>
      </c>
      <c r="J227" s="3">
        <v>40</v>
      </c>
      <c r="K227">
        <v>1.2</v>
      </c>
      <c r="L227" t="b">
        <v>0</v>
      </c>
      <c r="M227" s="2"/>
      <c r="O227" s="3" t="s">
        <v>1045</v>
      </c>
      <c r="P227" t="s">
        <v>1025</v>
      </c>
      <c r="Q227" s="3">
        <v>1</v>
      </c>
      <c r="R227">
        <v>1</v>
      </c>
    </row>
    <row r="228" spans="1:18" x14ac:dyDescent="0.25">
      <c r="A228" t="s">
        <v>483</v>
      </c>
      <c r="B228" t="s">
        <v>484</v>
      </c>
      <c r="C228" t="s">
        <v>20</v>
      </c>
      <c r="D228">
        <v>29</v>
      </c>
      <c r="E228" t="s">
        <v>1030</v>
      </c>
      <c r="F228" t="s">
        <v>1030</v>
      </c>
      <c r="G228" t="s">
        <v>1035</v>
      </c>
      <c r="H228">
        <v>10</v>
      </c>
      <c r="I228" s="3" t="s">
        <v>37</v>
      </c>
      <c r="J228" s="3">
        <v>40</v>
      </c>
      <c r="K228">
        <v>1.2</v>
      </c>
      <c r="L228" t="b">
        <v>0</v>
      </c>
      <c r="M228" s="4">
        <v>0.78</v>
      </c>
      <c r="O228" s="3" t="s">
        <v>1046</v>
      </c>
      <c r="P228" t="s">
        <v>1025</v>
      </c>
      <c r="Q228" s="3">
        <v>7</v>
      </c>
      <c r="R228">
        <v>6</v>
      </c>
    </row>
    <row r="229" spans="1:18" x14ac:dyDescent="0.25">
      <c r="A229" t="s">
        <v>485</v>
      </c>
      <c r="B229" t="s">
        <v>486</v>
      </c>
      <c r="C229" t="s">
        <v>20</v>
      </c>
      <c r="D229">
        <v>54</v>
      </c>
      <c r="E229" t="s">
        <v>1062</v>
      </c>
      <c r="F229" t="s">
        <v>1027</v>
      </c>
      <c r="G229" t="s">
        <v>1031</v>
      </c>
      <c r="H229">
        <v>33</v>
      </c>
      <c r="I229" s="3" t="s">
        <v>122</v>
      </c>
      <c r="J229" s="3">
        <v>75</v>
      </c>
      <c r="K229">
        <v>0</v>
      </c>
      <c r="L229" t="b">
        <v>1</v>
      </c>
      <c r="M229" s="4">
        <v>0.62</v>
      </c>
      <c r="O229" s="3" t="s">
        <v>1045</v>
      </c>
      <c r="P229" t="s">
        <v>1042</v>
      </c>
      <c r="Q229" s="3">
        <v>18</v>
      </c>
      <c r="R229">
        <v>9</v>
      </c>
    </row>
    <row r="230" spans="1:18" x14ac:dyDescent="0.25">
      <c r="A230" t="s">
        <v>487</v>
      </c>
      <c r="B230" t="s">
        <v>488</v>
      </c>
      <c r="C230" t="s">
        <v>43</v>
      </c>
      <c r="D230">
        <v>52</v>
      </c>
      <c r="E230" t="s">
        <v>1071</v>
      </c>
      <c r="F230" t="s">
        <v>1048</v>
      </c>
      <c r="G230" t="s">
        <v>1035</v>
      </c>
      <c r="H230">
        <v>12</v>
      </c>
      <c r="I230" s="3">
        <v>40</v>
      </c>
      <c r="J230" s="3">
        <v>40</v>
      </c>
      <c r="K230">
        <v>1.2</v>
      </c>
      <c r="L230" t="b">
        <v>0</v>
      </c>
      <c r="M230" s="4">
        <v>0.76</v>
      </c>
      <c r="O230" s="3" t="s">
        <v>1045</v>
      </c>
      <c r="P230" t="s">
        <v>1029</v>
      </c>
      <c r="Q230" s="3">
        <v>14</v>
      </c>
      <c r="R230">
        <v>3</v>
      </c>
    </row>
    <row r="231" spans="1:18" x14ac:dyDescent="0.25">
      <c r="A231" t="s">
        <v>489</v>
      </c>
      <c r="B231" t="s">
        <v>490</v>
      </c>
      <c r="C231" t="s">
        <v>20</v>
      </c>
      <c r="D231">
        <v>55</v>
      </c>
      <c r="E231" t="s">
        <v>1039</v>
      </c>
      <c r="F231" t="s">
        <v>1040</v>
      </c>
      <c r="G231" t="s">
        <v>1023</v>
      </c>
      <c r="H231">
        <v>18</v>
      </c>
      <c r="I231" s="3">
        <v>100</v>
      </c>
      <c r="J231" s="3">
        <v>100</v>
      </c>
      <c r="K231">
        <v>2.9</v>
      </c>
      <c r="L231" t="b">
        <v>0</v>
      </c>
      <c r="M231" s="2">
        <v>97</v>
      </c>
      <c r="O231" s="3" t="s">
        <v>1045</v>
      </c>
      <c r="P231" t="s">
        <v>1025</v>
      </c>
      <c r="Q231" s="3">
        <v>12</v>
      </c>
      <c r="R231">
        <v>9</v>
      </c>
    </row>
    <row r="232" spans="1:18" x14ac:dyDescent="0.25">
      <c r="A232" t="s">
        <v>491</v>
      </c>
      <c r="B232" t="s">
        <v>492</v>
      </c>
      <c r="C232" t="s">
        <v>43</v>
      </c>
      <c r="D232">
        <v>37</v>
      </c>
      <c r="E232" t="s">
        <v>1057</v>
      </c>
      <c r="F232" t="s">
        <v>1058</v>
      </c>
      <c r="G232" t="s">
        <v>1023</v>
      </c>
      <c r="H232">
        <v>4</v>
      </c>
      <c r="J232" s="3">
        <v>52</v>
      </c>
      <c r="K232">
        <v>2.4</v>
      </c>
      <c r="L232" t="b">
        <v>0</v>
      </c>
      <c r="M232" s="2"/>
      <c r="O232" s="3" t="s">
        <v>1024</v>
      </c>
      <c r="P232" t="s">
        <v>1032</v>
      </c>
      <c r="Q232" s="3">
        <v>3</v>
      </c>
      <c r="R232">
        <v>2</v>
      </c>
    </row>
    <row r="233" spans="1:18" x14ac:dyDescent="0.25">
      <c r="A233" t="s">
        <v>493</v>
      </c>
      <c r="B233" t="s">
        <v>494</v>
      </c>
      <c r="C233" t="s">
        <v>20</v>
      </c>
      <c r="D233">
        <v>34</v>
      </c>
      <c r="E233" t="s">
        <v>1065</v>
      </c>
      <c r="F233" t="s">
        <v>1066</v>
      </c>
      <c r="G233" t="s">
        <v>1041</v>
      </c>
      <c r="H233">
        <v>11</v>
      </c>
      <c r="I233" s="3" t="s">
        <v>44</v>
      </c>
      <c r="J233" s="3">
        <v>50</v>
      </c>
      <c r="K233">
        <v>3.9</v>
      </c>
      <c r="L233" t="b">
        <v>1</v>
      </c>
      <c r="M233" s="4">
        <v>0.82</v>
      </c>
      <c r="O233" s="3" t="s">
        <v>1024</v>
      </c>
      <c r="P233" t="s">
        <v>1029</v>
      </c>
      <c r="Q233" s="3">
        <v>13</v>
      </c>
      <c r="R233">
        <v>2</v>
      </c>
    </row>
    <row r="234" spans="1:18" x14ac:dyDescent="0.25">
      <c r="A234" t="s">
        <v>495</v>
      </c>
      <c r="B234" t="s">
        <v>496</v>
      </c>
      <c r="C234" t="s">
        <v>43</v>
      </c>
      <c r="D234">
        <v>20</v>
      </c>
      <c r="E234" t="s">
        <v>1063</v>
      </c>
      <c r="F234" t="s">
        <v>1064</v>
      </c>
      <c r="G234" t="s">
        <v>1041</v>
      </c>
      <c r="H234">
        <v>1</v>
      </c>
      <c r="I234" s="3">
        <v>50</v>
      </c>
      <c r="J234" s="3">
        <v>50</v>
      </c>
      <c r="K234">
        <v>3.1</v>
      </c>
      <c r="L234" t="b">
        <v>0</v>
      </c>
      <c r="M234" s="4">
        <v>0.71</v>
      </c>
      <c r="O234" s="3" t="s">
        <v>1038</v>
      </c>
      <c r="P234" t="s">
        <v>1042</v>
      </c>
      <c r="Q234" s="3">
        <v>4</v>
      </c>
      <c r="R234">
        <v>3</v>
      </c>
    </row>
    <row r="235" spans="1:18" x14ac:dyDescent="0.25">
      <c r="A235" t="s">
        <v>497</v>
      </c>
      <c r="B235" t="s">
        <v>498</v>
      </c>
      <c r="C235" t="s">
        <v>43</v>
      </c>
      <c r="D235">
        <v>22</v>
      </c>
      <c r="E235" t="s">
        <v>1071</v>
      </c>
      <c r="F235" t="s">
        <v>1048</v>
      </c>
      <c r="G235" t="s">
        <v>1049</v>
      </c>
      <c r="H235">
        <v>2</v>
      </c>
      <c r="J235" s="3">
        <v>52</v>
      </c>
      <c r="K235">
        <v>0</v>
      </c>
      <c r="L235" t="b">
        <v>1</v>
      </c>
      <c r="M235" s="2"/>
      <c r="O235" s="3" t="s">
        <v>1038</v>
      </c>
      <c r="P235" t="s">
        <v>1042</v>
      </c>
      <c r="Q235" s="3">
        <v>5</v>
      </c>
      <c r="R235">
        <v>1</v>
      </c>
    </row>
    <row r="236" spans="1:18" x14ac:dyDescent="0.25">
      <c r="A236" t="s">
        <v>499</v>
      </c>
      <c r="B236" t="s">
        <v>500</v>
      </c>
      <c r="C236" t="s">
        <v>20</v>
      </c>
      <c r="D236">
        <v>23</v>
      </c>
      <c r="E236" t="s">
        <v>1051</v>
      </c>
      <c r="F236" t="s">
        <v>1059</v>
      </c>
      <c r="G236" t="s">
        <v>1031</v>
      </c>
      <c r="H236">
        <v>2</v>
      </c>
      <c r="I236" s="3">
        <v>50</v>
      </c>
      <c r="J236" s="3">
        <v>50</v>
      </c>
      <c r="K236">
        <v>3.2</v>
      </c>
      <c r="L236" t="b">
        <v>1</v>
      </c>
      <c r="M236" s="2"/>
      <c r="O236" s="3" t="s">
        <v>1046</v>
      </c>
      <c r="P236" t="s">
        <v>1042</v>
      </c>
      <c r="Q236" s="3">
        <v>2</v>
      </c>
      <c r="R236">
        <v>1</v>
      </c>
    </row>
    <row r="237" spans="1:18" x14ac:dyDescent="0.25">
      <c r="A237" t="s">
        <v>501</v>
      </c>
      <c r="B237" t="s">
        <v>502</v>
      </c>
      <c r="C237" t="s">
        <v>20</v>
      </c>
      <c r="D237">
        <v>53</v>
      </c>
      <c r="E237" t="s">
        <v>1051</v>
      </c>
      <c r="F237" t="s">
        <v>1059</v>
      </c>
      <c r="G237" t="s">
        <v>1023</v>
      </c>
      <c r="H237">
        <v>34</v>
      </c>
      <c r="I237" s="3">
        <v>30</v>
      </c>
      <c r="J237" s="3">
        <v>30</v>
      </c>
      <c r="K237">
        <v>2.4</v>
      </c>
      <c r="L237" t="b">
        <v>1</v>
      </c>
      <c r="M237" s="2"/>
      <c r="O237" s="3" t="s">
        <v>1024</v>
      </c>
      <c r="P237" t="s">
        <v>1032</v>
      </c>
      <c r="Q237" s="3">
        <v>14</v>
      </c>
      <c r="R237">
        <v>9</v>
      </c>
    </row>
    <row r="238" spans="1:18" x14ac:dyDescent="0.25">
      <c r="A238" t="s">
        <v>503</v>
      </c>
      <c r="B238" t="s">
        <v>504</v>
      </c>
      <c r="C238" t="s">
        <v>20</v>
      </c>
      <c r="D238">
        <v>56</v>
      </c>
      <c r="E238" t="s">
        <v>1051</v>
      </c>
      <c r="F238" t="s">
        <v>1059</v>
      </c>
      <c r="G238" t="s">
        <v>1031</v>
      </c>
      <c r="H238">
        <v>27</v>
      </c>
      <c r="I238" s="3">
        <v>100</v>
      </c>
      <c r="J238" s="3">
        <v>100</v>
      </c>
      <c r="K238">
        <v>4.7</v>
      </c>
      <c r="L238" t="b">
        <v>1</v>
      </c>
      <c r="M238" s="4">
        <v>0.69</v>
      </c>
      <c r="O238" s="3" t="s">
        <v>1046</v>
      </c>
      <c r="P238" t="s">
        <v>1025</v>
      </c>
      <c r="Q238" s="3">
        <v>19</v>
      </c>
      <c r="R238">
        <v>7</v>
      </c>
    </row>
    <row r="239" spans="1:18" x14ac:dyDescent="0.25">
      <c r="A239" t="s">
        <v>505</v>
      </c>
      <c r="B239" t="s">
        <v>506</v>
      </c>
      <c r="C239" t="s">
        <v>43</v>
      </c>
      <c r="D239">
        <v>27</v>
      </c>
      <c r="E239" t="s">
        <v>1062</v>
      </c>
      <c r="F239" t="s">
        <v>1027</v>
      </c>
      <c r="G239" t="s">
        <v>30</v>
      </c>
      <c r="H239">
        <v>4</v>
      </c>
      <c r="I239" s="3">
        <v>75</v>
      </c>
      <c r="J239" s="3">
        <v>75</v>
      </c>
      <c r="K239">
        <v>5</v>
      </c>
      <c r="L239" t="b">
        <v>0</v>
      </c>
      <c r="M239" s="4">
        <v>0.88</v>
      </c>
      <c r="O239" s="3" t="s">
        <v>1038</v>
      </c>
      <c r="P239" t="s">
        <v>1032</v>
      </c>
      <c r="Q239" s="3">
        <v>5</v>
      </c>
      <c r="R239">
        <v>1</v>
      </c>
    </row>
    <row r="240" spans="1:18" x14ac:dyDescent="0.25">
      <c r="A240" t="s">
        <v>507</v>
      </c>
      <c r="B240" t="s">
        <v>508</v>
      </c>
      <c r="C240" t="s">
        <v>43</v>
      </c>
      <c r="D240">
        <v>34</v>
      </c>
      <c r="E240" t="s">
        <v>1021</v>
      </c>
      <c r="F240" t="s">
        <v>1022</v>
      </c>
      <c r="G240" t="s">
        <v>1028</v>
      </c>
      <c r="H240">
        <v>11</v>
      </c>
      <c r="I240" s="3" t="s">
        <v>37</v>
      </c>
      <c r="J240" s="3">
        <v>40</v>
      </c>
      <c r="K240">
        <v>2.4</v>
      </c>
      <c r="L240" t="b">
        <v>0</v>
      </c>
      <c r="M240" s="4">
        <v>0.67</v>
      </c>
      <c r="O240" s="3" t="s">
        <v>1046</v>
      </c>
      <c r="P240" t="s">
        <v>1029</v>
      </c>
      <c r="Q240" s="3">
        <v>13</v>
      </c>
      <c r="R240">
        <v>9</v>
      </c>
    </row>
    <row r="241" spans="1:18" x14ac:dyDescent="0.25">
      <c r="A241" t="s">
        <v>509</v>
      </c>
      <c r="B241" t="s">
        <v>510</v>
      </c>
      <c r="C241" t="s">
        <v>43</v>
      </c>
      <c r="D241">
        <v>29</v>
      </c>
      <c r="E241" t="s">
        <v>40</v>
      </c>
      <c r="F241" t="s">
        <v>1027</v>
      </c>
      <c r="G241" t="s">
        <v>1033</v>
      </c>
      <c r="H241">
        <v>4</v>
      </c>
      <c r="I241" s="3" t="s">
        <v>64</v>
      </c>
      <c r="J241" s="3">
        <v>50</v>
      </c>
      <c r="K241">
        <v>4</v>
      </c>
      <c r="L241" t="b">
        <v>0</v>
      </c>
      <c r="M241" s="2"/>
      <c r="O241" s="3" t="s">
        <v>1038</v>
      </c>
      <c r="P241" t="s">
        <v>1042</v>
      </c>
      <c r="Q241" s="3">
        <v>3</v>
      </c>
      <c r="R241">
        <v>2</v>
      </c>
    </row>
    <row r="242" spans="1:18" x14ac:dyDescent="0.25">
      <c r="A242" t="s">
        <v>511</v>
      </c>
      <c r="B242" t="s">
        <v>512</v>
      </c>
      <c r="C242" t="s">
        <v>43</v>
      </c>
      <c r="D242">
        <v>34</v>
      </c>
      <c r="E242" t="s">
        <v>1055</v>
      </c>
      <c r="F242" t="s">
        <v>1056</v>
      </c>
      <c r="G242" t="s">
        <v>30</v>
      </c>
      <c r="H242">
        <v>11</v>
      </c>
      <c r="J242" s="3">
        <v>52</v>
      </c>
      <c r="K242">
        <v>1.2</v>
      </c>
      <c r="L242" t="b">
        <v>1</v>
      </c>
      <c r="M242" s="2"/>
      <c r="O242" s="3" t="s">
        <v>1024</v>
      </c>
      <c r="P242" t="s">
        <v>1032</v>
      </c>
      <c r="Q242" s="3">
        <v>11</v>
      </c>
      <c r="R242">
        <v>4</v>
      </c>
    </row>
    <row r="243" spans="1:18" x14ac:dyDescent="0.25">
      <c r="A243" t="s">
        <v>513</v>
      </c>
      <c r="B243" t="s">
        <v>514</v>
      </c>
      <c r="C243" t="s">
        <v>20</v>
      </c>
      <c r="D243">
        <v>32</v>
      </c>
      <c r="E243" t="s">
        <v>1071</v>
      </c>
      <c r="F243" t="s">
        <v>1048</v>
      </c>
      <c r="G243" t="s">
        <v>30</v>
      </c>
      <c r="H243">
        <v>1</v>
      </c>
      <c r="I243" s="3">
        <v>100</v>
      </c>
      <c r="J243" s="3">
        <v>100</v>
      </c>
      <c r="K243">
        <v>4.7</v>
      </c>
      <c r="L243" t="b">
        <v>0</v>
      </c>
      <c r="M243" s="4">
        <v>0.67</v>
      </c>
      <c r="O243" s="3" t="s">
        <v>1045</v>
      </c>
      <c r="P243" t="s">
        <v>1032</v>
      </c>
      <c r="Q243" s="3">
        <v>5</v>
      </c>
      <c r="R243">
        <v>1</v>
      </c>
    </row>
    <row r="244" spans="1:18" x14ac:dyDescent="0.25">
      <c r="A244" t="s">
        <v>515</v>
      </c>
      <c r="B244" t="s">
        <v>516</v>
      </c>
      <c r="C244" t="s">
        <v>20</v>
      </c>
      <c r="D244">
        <v>21</v>
      </c>
      <c r="E244" t="s">
        <v>1067</v>
      </c>
      <c r="F244" t="s">
        <v>1068</v>
      </c>
      <c r="G244" t="s">
        <v>1035</v>
      </c>
      <c r="H244">
        <v>2</v>
      </c>
      <c r="I244" s="3">
        <v>20</v>
      </c>
      <c r="J244" s="3">
        <v>20</v>
      </c>
      <c r="K244">
        <v>2.4</v>
      </c>
      <c r="L244" t="b">
        <v>0</v>
      </c>
      <c r="M244" s="4">
        <v>0.86</v>
      </c>
      <c r="O244" s="3" t="s">
        <v>1024</v>
      </c>
      <c r="P244" t="s">
        <v>1025</v>
      </c>
      <c r="Q244" s="3">
        <v>4</v>
      </c>
      <c r="R244">
        <v>2</v>
      </c>
    </row>
    <row r="245" spans="1:18" x14ac:dyDescent="0.25">
      <c r="A245" t="s">
        <v>517</v>
      </c>
      <c r="B245" t="s">
        <v>518</v>
      </c>
      <c r="C245" t="s">
        <v>43</v>
      </c>
      <c r="D245">
        <v>20</v>
      </c>
      <c r="E245" t="s">
        <v>1071</v>
      </c>
      <c r="F245" t="s">
        <v>1048</v>
      </c>
      <c r="G245" t="s">
        <v>1031</v>
      </c>
      <c r="H245">
        <v>2</v>
      </c>
      <c r="J245" s="3">
        <v>52</v>
      </c>
      <c r="K245">
        <v>1.1000000000000001</v>
      </c>
      <c r="L245" t="b">
        <v>0</v>
      </c>
      <c r="M245" s="4">
        <v>0.69</v>
      </c>
      <c r="O245" s="3" t="s">
        <v>1046</v>
      </c>
      <c r="P245" t="s">
        <v>1025</v>
      </c>
      <c r="Q245" s="3">
        <v>3</v>
      </c>
      <c r="R245">
        <v>1</v>
      </c>
    </row>
    <row r="246" spans="1:18" x14ac:dyDescent="0.25">
      <c r="A246" t="s">
        <v>519</v>
      </c>
      <c r="B246" t="s">
        <v>520</v>
      </c>
      <c r="C246" t="s">
        <v>20</v>
      </c>
      <c r="D246">
        <v>35</v>
      </c>
      <c r="E246" t="s">
        <v>40</v>
      </c>
      <c r="F246" t="s">
        <v>1027</v>
      </c>
      <c r="G246" t="s">
        <v>1028</v>
      </c>
      <c r="H246">
        <v>10</v>
      </c>
      <c r="I246" s="3">
        <v>50</v>
      </c>
      <c r="J246" s="3">
        <v>50</v>
      </c>
      <c r="K246">
        <v>1.4</v>
      </c>
      <c r="L246" t="b">
        <v>1</v>
      </c>
      <c r="M246" s="4">
        <v>0.85</v>
      </c>
      <c r="O246" s="3" t="s">
        <v>1046</v>
      </c>
      <c r="P246" t="s">
        <v>1042</v>
      </c>
      <c r="Q246" s="3">
        <v>8</v>
      </c>
      <c r="R246">
        <v>4</v>
      </c>
    </row>
    <row r="247" spans="1:18" x14ac:dyDescent="0.25">
      <c r="A247" t="s">
        <v>521</v>
      </c>
      <c r="B247" t="s">
        <v>522</v>
      </c>
      <c r="C247" t="s">
        <v>20</v>
      </c>
      <c r="D247">
        <v>47</v>
      </c>
      <c r="E247" t="s">
        <v>40</v>
      </c>
      <c r="F247" t="s">
        <v>1027</v>
      </c>
      <c r="G247" t="s">
        <v>1049</v>
      </c>
      <c r="H247">
        <v>18</v>
      </c>
      <c r="I247" s="3">
        <v>40</v>
      </c>
      <c r="J247" s="3">
        <v>40</v>
      </c>
      <c r="K247">
        <v>3.4</v>
      </c>
      <c r="L247" t="b">
        <v>0</v>
      </c>
      <c r="M247" s="2">
        <v>60</v>
      </c>
      <c r="O247" s="3" t="s">
        <v>1024</v>
      </c>
      <c r="P247" t="s">
        <v>1032</v>
      </c>
      <c r="Q247" s="3">
        <v>11</v>
      </c>
      <c r="R247">
        <v>10</v>
      </c>
    </row>
    <row r="248" spans="1:18" x14ac:dyDescent="0.25">
      <c r="A248" t="s">
        <v>523</v>
      </c>
      <c r="B248" t="s">
        <v>524</v>
      </c>
      <c r="C248" t="s">
        <v>20</v>
      </c>
      <c r="D248">
        <v>41</v>
      </c>
      <c r="E248" t="s">
        <v>1043</v>
      </c>
      <c r="F248" t="s">
        <v>1044</v>
      </c>
      <c r="G248" t="s">
        <v>1023</v>
      </c>
      <c r="H248">
        <v>4</v>
      </c>
      <c r="I248" s="3">
        <v>40</v>
      </c>
      <c r="J248" s="3">
        <v>40</v>
      </c>
      <c r="K248">
        <v>2.7</v>
      </c>
      <c r="L248" t="b">
        <v>1</v>
      </c>
      <c r="M248" s="2">
        <v>70</v>
      </c>
      <c r="O248" s="3" t="s">
        <v>1024</v>
      </c>
      <c r="P248" t="s">
        <v>1032</v>
      </c>
      <c r="Q248" s="3">
        <v>2</v>
      </c>
      <c r="R248">
        <v>2</v>
      </c>
    </row>
    <row r="249" spans="1:18" x14ac:dyDescent="0.25">
      <c r="A249" t="s">
        <v>525</v>
      </c>
      <c r="B249" t="s">
        <v>526</v>
      </c>
      <c r="C249" t="s">
        <v>43</v>
      </c>
      <c r="D249">
        <v>58</v>
      </c>
      <c r="E249" t="s">
        <v>1047</v>
      </c>
      <c r="F249" t="s">
        <v>1048</v>
      </c>
      <c r="G249" t="s">
        <v>1033</v>
      </c>
      <c r="H249">
        <v>23</v>
      </c>
      <c r="J249" s="3">
        <v>52</v>
      </c>
      <c r="K249">
        <v>4.9000000000000004</v>
      </c>
      <c r="L249" t="b">
        <v>0</v>
      </c>
      <c r="M249" s="2"/>
      <c r="O249" s="3" t="s">
        <v>1038</v>
      </c>
      <c r="P249" t="s">
        <v>1025</v>
      </c>
      <c r="Q249" s="3">
        <v>19</v>
      </c>
      <c r="R249">
        <v>5</v>
      </c>
    </row>
    <row r="250" spans="1:18" x14ac:dyDescent="0.25">
      <c r="A250" t="s">
        <v>527</v>
      </c>
      <c r="B250" t="s">
        <v>528</v>
      </c>
      <c r="C250" t="s">
        <v>43</v>
      </c>
      <c r="D250">
        <v>34</v>
      </c>
      <c r="E250" t="s">
        <v>1069</v>
      </c>
      <c r="F250" t="s">
        <v>1070</v>
      </c>
      <c r="G250" t="s">
        <v>1041</v>
      </c>
      <c r="H250">
        <v>6</v>
      </c>
      <c r="I250" s="3">
        <v>75</v>
      </c>
      <c r="J250" s="3">
        <v>75</v>
      </c>
      <c r="K250">
        <v>1.9</v>
      </c>
      <c r="L250" t="b">
        <v>1</v>
      </c>
      <c r="M250" s="4">
        <v>0.81</v>
      </c>
      <c r="O250" s="3" t="s">
        <v>1046</v>
      </c>
      <c r="P250" t="s">
        <v>1032</v>
      </c>
      <c r="Q250" s="3">
        <v>9</v>
      </c>
      <c r="R250">
        <v>6</v>
      </c>
    </row>
    <row r="251" spans="1:18" x14ac:dyDescent="0.25">
      <c r="A251" t="s">
        <v>529</v>
      </c>
      <c r="B251" t="s">
        <v>530</v>
      </c>
      <c r="C251" t="s">
        <v>20</v>
      </c>
      <c r="D251">
        <v>50</v>
      </c>
      <c r="E251" t="s">
        <v>1055</v>
      </c>
      <c r="F251" t="s">
        <v>1056</v>
      </c>
      <c r="G251" t="s">
        <v>1028</v>
      </c>
      <c r="H251">
        <v>5</v>
      </c>
      <c r="I251" s="3">
        <v>100</v>
      </c>
      <c r="J251" s="3">
        <v>100</v>
      </c>
      <c r="K251">
        <v>2.4</v>
      </c>
      <c r="L251" t="b">
        <v>1</v>
      </c>
      <c r="M251" s="2"/>
      <c r="O251" s="3" t="s">
        <v>1046</v>
      </c>
      <c r="P251" t="s">
        <v>1032</v>
      </c>
      <c r="Q251" s="3">
        <v>4</v>
      </c>
      <c r="R251">
        <v>1</v>
      </c>
    </row>
    <row r="252" spans="1:18" x14ac:dyDescent="0.25">
      <c r="A252" t="s">
        <v>531</v>
      </c>
      <c r="B252" t="s">
        <v>532</v>
      </c>
      <c r="C252" t="s">
        <v>20</v>
      </c>
      <c r="D252">
        <v>42</v>
      </c>
      <c r="E252" t="s">
        <v>1071</v>
      </c>
      <c r="F252" t="s">
        <v>1048</v>
      </c>
      <c r="G252" t="s">
        <v>1054</v>
      </c>
      <c r="H252">
        <v>19</v>
      </c>
      <c r="I252" s="3" t="s">
        <v>34</v>
      </c>
      <c r="J252" s="3">
        <v>75</v>
      </c>
      <c r="K252">
        <v>4.5999999999999996</v>
      </c>
      <c r="L252" t="b">
        <v>0</v>
      </c>
      <c r="M252" s="4">
        <v>0.78</v>
      </c>
      <c r="O252" s="3" t="s">
        <v>1024</v>
      </c>
      <c r="P252" t="s">
        <v>1032</v>
      </c>
      <c r="Q252" s="3">
        <v>18</v>
      </c>
      <c r="R252">
        <v>13</v>
      </c>
    </row>
    <row r="253" spans="1:18" x14ac:dyDescent="0.25">
      <c r="A253" t="s">
        <v>533</v>
      </c>
      <c r="B253" t="s">
        <v>534</v>
      </c>
      <c r="C253" t="s">
        <v>43</v>
      </c>
      <c r="D253">
        <v>43</v>
      </c>
      <c r="E253" t="s">
        <v>1030</v>
      </c>
      <c r="F253" t="s">
        <v>1030</v>
      </c>
      <c r="G253" t="s">
        <v>1049</v>
      </c>
      <c r="H253">
        <v>6</v>
      </c>
      <c r="I253" s="3">
        <v>50</v>
      </c>
      <c r="J253" s="3">
        <v>50</v>
      </c>
      <c r="K253">
        <v>0</v>
      </c>
      <c r="L253" t="b">
        <v>0</v>
      </c>
      <c r="M253" s="2">
        <v>81</v>
      </c>
      <c r="O253" s="3" t="s">
        <v>1045</v>
      </c>
      <c r="P253" t="s">
        <v>1025</v>
      </c>
      <c r="Q253" s="3">
        <v>8</v>
      </c>
      <c r="R253">
        <v>13</v>
      </c>
    </row>
    <row r="254" spans="1:18" x14ac:dyDescent="0.25">
      <c r="A254" t="s">
        <v>535</v>
      </c>
      <c r="B254" t="s">
        <v>536</v>
      </c>
      <c r="C254" t="s">
        <v>43</v>
      </c>
      <c r="D254">
        <v>34</v>
      </c>
      <c r="E254" t="s">
        <v>1030</v>
      </c>
      <c r="F254" t="s">
        <v>1030</v>
      </c>
      <c r="G254" t="s">
        <v>1041</v>
      </c>
      <c r="H254">
        <v>8</v>
      </c>
      <c r="I254" s="3">
        <v>75</v>
      </c>
      <c r="J254" s="3">
        <v>75</v>
      </c>
      <c r="K254">
        <v>1.8</v>
      </c>
      <c r="L254" t="b">
        <v>1</v>
      </c>
      <c r="M254" s="4">
        <v>0.71</v>
      </c>
      <c r="O254" s="3" t="s">
        <v>1046</v>
      </c>
      <c r="P254" t="s">
        <v>1042</v>
      </c>
      <c r="Q254" s="3">
        <v>8</v>
      </c>
      <c r="R254">
        <v>9</v>
      </c>
    </row>
    <row r="255" spans="1:18" x14ac:dyDescent="0.25">
      <c r="A255" t="s">
        <v>537</v>
      </c>
      <c r="B255" t="s">
        <v>538</v>
      </c>
      <c r="C255" t="s">
        <v>43</v>
      </c>
      <c r="D255">
        <v>24</v>
      </c>
      <c r="E255" t="s">
        <v>1072</v>
      </c>
      <c r="F255" t="s">
        <v>1048</v>
      </c>
      <c r="G255" t="s">
        <v>1028</v>
      </c>
      <c r="H255">
        <v>3</v>
      </c>
      <c r="I255" s="3">
        <v>75</v>
      </c>
      <c r="J255" s="3">
        <v>75</v>
      </c>
      <c r="K255">
        <v>2</v>
      </c>
      <c r="L255" t="b">
        <v>0</v>
      </c>
      <c r="M255" s="2"/>
      <c r="O255" s="3" t="s">
        <v>1045</v>
      </c>
      <c r="P255" t="s">
        <v>1029</v>
      </c>
      <c r="Q255" s="3">
        <v>2</v>
      </c>
      <c r="R255">
        <v>1</v>
      </c>
    </row>
    <row r="256" spans="1:18" x14ac:dyDescent="0.25">
      <c r="A256" t="s">
        <v>539</v>
      </c>
      <c r="B256" t="s">
        <v>540</v>
      </c>
      <c r="C256" t="s">
        <v>43</v>
      </c>
      <c r="D256">
        <v>48</v>
      </c>
      <c r="E256" t="s">
        <v>1067</v>
      </c>
      <c r="F256" t="s">
        <v>1068</v>
      </c>
      <c r="G256" t="s">
        <v>1049</v>
      </c>
      <c r="H256">
        <v>8</v>
      </c>
      <c r="I256" s="3">
        <v>30</v>
      </c>
      <c r="J256" s="3">
        <v>30</v>
      </c>
      <c r="K256">
        <v>5</v>
      </c>
      <c r="L256" t="b">
        <v>1</v>
      </c>
      <c r="M256" s="4">
        <v>0.99</v>
      </c>
      <c r="O256" s="3" t="s">
        <v>1024</v>
      </c>
      <c r="P256" t="s">
        <v>1042</v>
      </c>
      <c r="Q256" s="3">
        <v>6</v>
      </c>
      <c r="R256">
        <v>9</v>
      </c>
    </row>
    <row r="257" spans="1:18" x14ac:dyDescent="0.25">
      <c r="A257" t="s">
        <v>541</v>
      </c>
      <c r="B257" t="s">
        <v>542</v>
      </c>
      <c r="C257" t="s">
        <v>20</v>
      </c>
      <c r="D257">
        <v>39</v>
      </c>
      <c r="E257" t="s">
        <v>1051</v>
      </c>
      <c r="F257" t="s">
        <v>1059</v>
      </c>
      <c r="G257" t="s">
        <v>1041</v>
      </c>
      <c r="H257">
        <v>12</v>
      </c>
      <c r="I257" s="3" t="s">
        <v>82</v>
      </c>
      <c r="J257" s="3">
        <v>20</v>
      </c>
      <c r="K257">
        <v>3.2</v>
      </c>
      <c r="L257" t="b">
        <v>1</v>
      </c>
      <c r="M257" s="4">
        <v>0.66</v>
      </c>
      <c r="O257" s="3" t="s">
        <v>1024</v>
      </c>
      <c r="P257" t="s">
        <v>1029</v>
      </c>
      <c r="Q257" s="3">
        <v>15</v>
      </c>
      <c r="R257">
        <v>6</v>
      </c>
    </row>
    <row r="258" spans="1:18" x14ac:dyDescent="0.25">
      <c r="A258" t="s">
        <v>543</v>
      </c>
      <c r="B258" t="s">
        <v>544</v>
      </c>
      <c r="C258" t="s">
        <v>20</v>
      </c>
      <c r="D258">
        <v>57</v>
      </c>
      <c r="E258" t="s">
        <v>1026</v>
      </c>
      <c r="F258" t="s">
        <v>1027</v>
      </c>
      <c r="G258" t="s">
        <v>1023</v>
      </c>
      <c r="H258">
        <v>30</v>
      </c>
      <c r="I258" s="3" t="s">
        <v>31</v>
      </c>
      <c r="J258" s="3">
        <v>30</v>
      </c>
      <c r="K258">
        <v>2.4</v>
      </c>
      <c r="L258" t="b">
        <v>0</v>
      </c>
      <c r="M258" s="4">
        <v>0.8</v>
      </c>
      <c r="O258" s="3" t="s">
        <v>1038</v>
      </c>
      <c r="P258" t="s">
        <v>1032</v>
      </c>
      <c r="Q258" s="3">
        <v>13</v>
      </c>
      <c r="R258">
        <v>8</v>
      </c>
    </row>
    <row r="259" spans="1:18" x14ac:dyDescent="0.25">
      <c r="A259" t="s">
        <v>545</v>
      </c>
      <c r="B259" t="s">
        <v>546</v>
      </c>
      <c r="C259" t="s">
        <v>20</v>
      </c>
      <c r="D259">
        <v>44</v>
      </c>
      <c r="E259" t="s">
        <v>1062</v>
      </c>
      <c r="F259" t="s">
        <v>1027</v>
      </c>
      <c r="G259" t="s">
        <v>1033</v>
      </c>
      <c r="H259">
        <v>21</v>
      </c>
      <c r="I259" s="3">
        <v>100</v>
      </c>
      <c r="J259" s="3">
        <v>100</v>
      </c>
      <c r="K259">
        <v>2.9</v>
      </c>
      <c r="L259" t="b">
        <v>0</v>
      </c>
      <c r="M259" s="4">
        <v>0.83</v>
      </c>
      <c r="O259" s="3" t="s">
        <v>1046</v>
      </c>
      <c r="P259" t="s">
        <v>1042</v>
      </c>
      <c r="Q259" s="3">
        <v>17</v>
      </c>
      <c r="R259">
        <v>1</v>
      </c>
    </row>
    <row r="260" spans="1:18" x14ac:dyDescent="0.25">
      <c r="A260" t="s">
        <v>547</v>
      </c>
      <c r="B260" t="s">
        <v>548</v>
      </c>
      <c r="C260" t="s">
        <v>43</v>
      </c>
      <c r="D260">
        <v>37</v>
      </c>
      <c r="E260" t="s">
        <v>1057</v>
      </c>
      <c r="F260" t="s">
        <v>1058</v>
      </c>
      <c r="G260" t="s">
        <v>1049</v>
      </c>
      <c r="H260">
        <v>17</v>
      </c>
      <c r="I260" s="3" t="s">
        <v>262</v>
      </c>
      <c r="J260" s="3">
        <v>20</v>
      </c>
      <c r="K260">
        <v>0</v>
      </c>
      <c r="L260" t="b">
        <v>1</v>
      </c>
      <c r="M260" s="2">
        <v>87</v>
      </c>
      <c r="O260" s="3" t="s">
        <v>1045</v>
      </c>
      <c r="P260" t="s">
        <v>1029</v>
      </c>
      <c r="Q260" s="3">
        <v>16</v>
      </c>
      <c r="R260">
        <v>7</v>
      </c>
    </row>
    <row r="261" spans="1:18" x14ac:dyDescent="0.25">
      <c r="A261" t="s">
        <v>549</v>
      </c>
      <c r="B261" t="s">
        <v>550</v>
      </c>
      <c r="C261" t="s">
        <v>43</v>
      </c>
      <c r="D261">
        <v>50</v>
      </c>
      <c r="E261" t="s">
        <v>1043</v>
      </c>
      <c r="F261" t="s">
        <v>1044</v>
      </c>
      <c r="G261" t="s">
        <v>1041</v>
      </c>
      <c r="H261">
        <v>9</v>
      </c>
      <c r="I261" s="3">
        <v>30</v>
      </c>
      <c r="J261" s="3">
        <v>30</v>
      </c>
      <c r="K261">
        <v>3</v>
      </c>
      <c r="L261" t="b">
        <v>0</v>
      </c>
      <c r="M261" s="2">
        <v>76</v>
      </c>
      <c r="O261" s="3" t="s">
        <v>1038</v>
      </c>
      <c r="P261" t="s">
        <v>1025</v>
      </c>
      <c r="Q261" s="3">
        <v>15</v>
      </c>
      <c r="R261">
        <v>3</v>
      </c>
    </row>
    <row r="262" spans="1:18" x14ac:dyDescent="0.25">
      <c r="A262" t="s">
        <v>551</v>
      </c>
      <c r="B262" t="s">
        <v>552</v>
      </c>
      <c r="C262" t="s">
        <v>43</v>
      </c>
      <c r="D262">
        <v>50</v>
      </c>
      <c r="E262" t="s">
        <v>1072</v>
      </c>
      <c r="F262" t="s">
        <v>1048</v>
      </c>
      <c r="G262" t="s">
        <v>1049</v>
      </c>
      <c r="H262">
        <v>2</v>
      </c>
      <c r="I262" s="3">
        <v>50</v>
      </c>
      <c r="J262" s="3">
        <v>50</v>
      </c>
      <c r="K262">
        <v>1.6</v>
      </c>
      <c r="L262" t="s">
        <v>111</v>
      </c>
      <c r="M262" s="4">
        <v>0.89</v>
      </c>
      <c r="O262" s="3" t="s">
        <v>1046</v>
      </c>
      <c r="P262" t="s">
        <v>1025</v>
      </c>
      <c r="Q262" s="3">
        <v>3</v>
      </c>
      <c r="R262">
        <v>1</v>
      </c>
    </row>
    <row r="263" spans="1:18" x14ac:dyDescent="0.25">
      <c r="A263" t="s">
        <v>553</v>
      </c>
      <c r="B263" t="s">
        <v>554</v>
      </c>
      <c r="C263" t="s">
        <v>20</v>
      </c>
      <c r="D263">
        <v>28</v>
      </c>
      <c r="E263" t="s">
        <v>1063</v>
      </c>
      <c r="F263" t="s">
        <v>1064</v>
      </c>
      <c r="G263" t="s">
        <v>1031</v>
      </c>
      <c r="H263">
        <v>1</v>
      </c>
      <c r="I263" s="3">
        <v>20</v>
      </c>
      <c r="J263" s="3">
        <v>20</v>
      </c>
      <c r="K263">
        <v>3.6</v>
      </c>
      <c r="L263" t="b">
        <v>1</v>
      </c>
      <c r="M263" s="4">
        <v>0.94</v>
      </c>
      <c r="O263" s="3" t="s">
        <v>1038</v>
      </c>
      <c r="P263" t="s">
        <v>1042</v>
      </c>
      <c r="Q263" s="3">
        <v>3</v>
      </c>
      <c r="R263">
        <v>1</v>
      </c>
    </row>
    <row r="264" spans="1:18" x14ac:dyDescent="0.25">
      <c r="A264" t="s">
        <v>555</v>
      </c>
      <c r="B264" t="s">
        <v>556</v>
      </c>
      <c r="C264" t="s">
        <v>43</v>
      </c>
      <c r="D264">
        <v>48</v>
      </c>
      <c r="E264" t="s">
        <v>1021</v>
      </c>
      <c r="F264" t="s">
        <v>1022</v>
      </c>
      <c r="G264" t="s">
        <v>1033</v>
      </c>
      <c r="H264">
        <v>23</v>
      </c>
      <c r="J264" s="3">
        <v>52</v>
      </c>
      <c r="K264">
        <v>2.1</v>
      </c>
      <c r="L264" t="b">
        <v>0</v>
      </c>
      <c r="M264" s="4">
        <v>0.68</v>
      </c>
      <c r="O264" s="3" t="s">
        <v>1024</v>
      </c>
      <c r="P264" t="s">
        <v>1042</v>
      </c>
      <c r="Q264" s="3">
        <v>14</v>
      </c>
      <c r="R264">
        <v>7</v>
      </c>
    </row>
    <row r="265" spans="1:18" x14ac:dyDescent="0.25">
      <c r="A265" t="s">
        <v>557</v>
      </c>
      <c r="B265" t="s">
        <v>558</v>
      </c>
      <c r="C265" t="s">
        <v>43</v>
      </c>
      <c r="D265">
        <v>42</v>
      </c>
      <c r="E265" t="s">
        <v>1030</v>
      </c>
      <c r="F265" t="s">
        <v>1030</v>
      </c>
      <c r="G265" t="s">
        <v>1054</v>
      </c>
      <c r="H265">
        <v>8</v>
      </c>
      <c r="I265" s="3">
        <v>30</v>
      </c>
      <c r="J265" s="3">
        <v>30</v>
      </c>
      <c r="K265">
        <v>3.6</v>
      </c>
      <c r="L265" t="b">
        <v>1</v>
      </c>
      <c r="M265" s="4">
        <v>0.96</v>
      </c>
      <c r="O265" s="3" t="s">
        <v>1046</v>
      </c>
      <c r="P265" t="s">
        <v>1032</v>
      </c>
      <c r="Q265" s="3">
        <v>9</v>
      </c>
      <c r="R265">
        <v>7</v>
      </c>
    </row>
    <row r="266" spans="1:18" x14ac:dyDescent="0.25">
      <c r="A266" t="s">
        <v>559</v>
      </c>
      <c r="B266" t="s">
        <v>560</v>
      </c>
      <c r="C266" t="s">
        <v>20</v>
      </c>
      <c r="D266">
        <v>37</v>
      </c>
      <c r="E266" t="s">
        <v>1062</v>
      </c>
      <c r="F266" t="s">
        <v>1027</v>
      </c>
      <c r="G266" t="s">
        <v>1041</v>
      </c>
      <c r="H266">
        <v>6</v>
      </c>
      <c r="I266" s="3" t="s">
        <v>82</v>
      </c>
      <c r="J266" s="3">
        <v>20</v>
      </c>
      <c r="K266">
        <v>2.7</v>
      </c>
      <c r="L266" t="b">
        <v>1</v>
      </c>
      <c r="M266" s="4">
        <v>0.91</v>
      </c>
      <c r="O266" s="3" t="s">
        <v>1038</v>
      </c>
      <c r="P266" t="s">
        <v>1042</v>
      </c>
      <c r="Q266" s="3">
        <v>6</v>
      </c>
      <c r="R266">
        <v>4</v>
      </c>
    </row>
    <row r="267" spans="1:18" x14ac:dyDescent="0.25">
      <c r="A267" t="s">
        <v>561</v>
      </c>
      <c r="B267" t="s">
        <v>562</v>
      </c>
      <c r="C267" t="s">
        <v>43</v>
      </c>
      <c r="D267">
        <v>21</v>
      </c>
      <c r="E267" t="s">
        <v>1055</v>
      </c>
      <c r="F267" t="s">
        <v>1056</v>
      </c>
      <c r="G267" t="s">
        <v>1023</v>
      </c>
      <c r="H267">
        <v>1</v>
      </c>
      <c r="I267" s="3">
        <v>100</v>
      </c>
      <c r="J267" s="3">
        <v>100</v>
      </c>
      <c r="K267">
        <v>2.1</v>
      </c>
      <c r="L267" t="b">
        <v>1</v>
      </c>
      <c r="M267" s="4">
        <v>0.92</v>
      </c>
      <c r="O267" s="3" t="s">
        <v>1038</v>
      </c>
      <c r="P267" t="s">
        <v>1032</v>
      </c>
      <c r="Q267" s="3">
        <v>5</v>
      </c>
      <c r="R267">
        <v>4</v>
      </c>
    </row>
    <row r="268" spans="1:18" x14ac:dyDescent="0.25">
      <c r="A268" t="s">
        <v>563</v>
      </c>
      <c r="B268" t="s">
        <v>564</v>
      </c>
      <c r="C268" t="s">
        <v>43</v>
      </c>
      <c r="D268">
        <v>50</v>
      </c>
      <c r="E268" t="s">
        <v>1051</v>
      </c>
      <c r="F268" t="s">
        <v>1059</v>
      </c>
      <c r="G268" t="s">
        <v>1033</v>
      </c>
      <c r="H268">
        <v>19</v>
      </c>
      <c r="I268" s="3" t="s">
        <v>26</v>
      </c>
      <c r="J268" s="3">
        <v>40</v>
      </c>
      <c r="K268">
        <v>4.9000000000000004</v>
      </c>
      <c r="L268" t="b">
        <v>0</v>
      </c>
      <c r="M268" s="4">
        <v>0.82</v>
      </c>
      <c r="O268" s="3" t="s">
        <v>1045</v>
      </c>
      <c r="P268" t="s">
        <v>1032</v>
      </c>
      <c r="Q268" s="3">
        <v>15</v>
      </c>
      <c r="R268">
        <v>15</v>
      </c>
    </row>
    <row r="269" spans="1:18" x14ac:dyDescent="0.25">
      <c r="A269" t="s">
        <v>565</v>
      </c>
      <c r="B269" t="s">
        <v>566</v>
      </c>
      <c r="C269" t="s">
        <v>20</v>
      </c>
      <c r="D269">
        <v>22</v>
      </c>
      <c r="E269" t="s">
        <v>1047</v>
      </c>
      <c r="F269" t="s">
        <v>1048</v>
      </c>
      <c r="G269" t="s">
        <v>30</v>
      </c>
      <c r="H269">
        <v>2</v>
      </c>
      <c r="I269" s="3">
        <v>30</v>
      </c>
      <c r="J269" s="3">
        <v>30</v>
      </c>
      <c r="K269">
        <v>2.1</v>
      </c>
      <c r="L269" t="b">
        <v>0</v>
      </c>
      <c r="M269" s="2"/>
      <c r="O269" s="3" t="s">
        <v>1038</v>
      </c>
      <c r="P269" t="s">
        <v>1025</v>
      </c>
      <c r="Q269" s="3">
        <v>2</v>
      </c>
      <c r="R269">
        <v>2</v>
      </c>
    </row>
    <row r="270" spans="1:18" x14ac:dyDescent="0.25">
      <c r="A270" t="s">
        <v>567</v>
      </c>
      <c r="B270" t="s">
        <v>568</v>
      </c>
      <c r="C270" t="s">
        <v>20</v>
      </c>
      <c r="D270">
        <v>39</v>
      </c>
      <c r="E270" t="s">
        <v>1052</v>
      </c>
      <c r="F270" t="s">
        <v>1053</v>
      </c>
      <c r="G270" t="s">
        <v>1033</v>
      </c>
      <c r="H270">
        <v>21</v>
      </c>
      <c r="I270" s="3">
        <v>100</v>
      </c>
      <c r="J270" s="3">
        <v>100</v>
      </c>
      <c r="K270">
        <v>0</v>
      </c>
      <c r="L270" t="s">
        <v>111</v>
      </c>
      <c r="M270" s="4">
        <v>0.91</v>
      </c>
      <c r="O270" s="3" t="s">
        <v>1046</v>
      </c>
      <c r="P270" t="s">
        <v>1025</v>
      </c>
      <c r="Q270" s="3">
        <v>17</v>
      </c>
      <c r="R270">
        <v>13</v>
      </c>
    </row>
    <row r="271" spans="1:18" x14ac:dyDescent="0.25">
      <c r="A271" t="s">
        <v>569</v>
      </c>
      <c r="B271" t="s">
        <v>570</v>
      </c>
      <c r="C271" t="s">
        <v>20</v>
      </c>
      <c r="D271">
        <v>25</v>
      </c>
      <c r="E271" t="s">
        <v>1052</v>
      </c>
      <c r="F271" t="s">
        <v>1053</v>
      </c>
      <c r="G271" t="s">
        <v>1035</v>
      </c>
      <c r="H271">
        <v>3</v>
      </c>
      <c r="I271" s="3" t="s">
        <v>44</v>
      </c>
      <c r="J271" s="3">
        <v>50</v>
      </c>
      <c r="K271">
        <v>2.8</v>
      </c>
      <c r="L271" t="b">
        <v>1</v>
      </c>
      <c r="M271" s="2">
        <v>86</v>
      </c>
      <c r="O271" s="3" t="s">
        <v>1046</v>
      </c>
      <c r="P271" t="s">
        <v>1029</v>
      </c>
      <c r="Q271" s="3">
        <v>3</v>
      </c>
      <c r="R271">
        <v>2</v>
      </c>
    </row>
    <row r="272" spans="1:18" x14ac:dyDescent="0.25">
      <c r="A272" t="s">
        <v>571</v>
      </c>
      <c r="B272" t="s">
        <v>572</v>
      </c>
      <c r="C272" t="s">
        <v>20</v>
      </c>
      <c r="D272">
        <v>47</v>
      </c>
      <c r="E272" t="s">
        <v>1067</v>
      </c>
      <c r="F272" t="s">
        <v>1068</v>
      </c>
      <c r="G272" t="s">
        <v>1028</v>
      </c>
      <c r="H272">
        <v>14</v>
      </c>
      <c r="J272" s="3">
        <v>52</v>
      </c>
      <c r="K272">
        <v>2.4</v>
      </c>
      <c r="L272" t="b">
        <v>0</v>
      </c>
      <c r="M272" s="4">
        <v>0.69</v>
      </c>
      <c r="O272" s="3" t="s">
        <v>1045</v>
      </c>
      <c r="P272" t="s">
        <v>1025</v>
      </c>
      <c r="Q272" s="3">
        <v>12</v>
      </c>
      <c r="R272">
        <v>13</v>
      </c>
    </row>
    <row r="273" spans="1:18" x14ac:dyDescent="0.25">
      <c r="A273" t="s">
        <v>573</v>
      </c>
      <c r="B273" t="s">
        <v>574</v>
      </c>
      <c r="C273" t="s">
        <v>20</v>
      </c>
      <c r="D273">
        <v>35</v>
      </c>
      <c r="E273" t="s">
        <v>1067</v>
      </c>
      <c r="F273" t="s">
        <v>1068</v>
      </c>
      <c r="G273" t="s">
        <v>1049</v>
      </c>
      <c r="H273">
        <v>10</v>
      </c>
      <c r="I273" s="3" t="s">
        <v>21</v>
      </c>
      <c r="J273" s="3">
        <v>100</v>
      </c>
      <c r="K273">
        <v>4.7</v>
      </c>
      <c r="L273" t="b">
        <v>1</v>
      </c>
      <c r="M273" s="4">
        <v>0.84</v>
      </c>
      <c r="O273" s="3" t="s">
        <v>1046</v>
      </c>
      <c r="P273" t="s">
        <v>1025</v>
      </c>
      <c r="Q273" s="3">
        <v>7</v>
      </c>
      <c r="R273">
        <v>13</v>
      </c>
    </row>
    <row r="274" spans="1:18" x14ac:dyDescent="0.25">
      <c r="A274" t="s">
        <v>575</v>
      </c>
      <c r="B274" t="s">
        <v>576</v>
      </c>
      <c r="C274" t="s">
        <v>20</v>
      </c>
      <c r="D274">
        <v>41</v>
      </c>
      <c r="E274" t="s">
        <v>47</v>
      </c>
      <c r="F274" t="s">
        <v>1027</v>
      </c>
      <c r="G274" t="s">
        <v>1050</v>
      </c>
      <c r="H274">
        <v>5</v>
      </c>
      <c r="I274" s="3">
        <v>100</v>
      </c>
      <c r="J274" s="3">
        <v>100</v>
      </c>
      <c r="K274">
        <v>1.3</v>
      </c>
      <c r="L274" t="b">
        <v>0</v>
      </c>
      <c r="M274" s="4">
        <v>0.6</v>
      </c>
      <c r="O274" s="3" t="s">
        <v>1024</v>
      </c>
      <c r="P274" t="s">
        <v>1042</v>
      </c>
      <c r="Q274" s="3">
        <v>5</v>
      </c>
      <c r="R274">
        <v>2</v>
      </c>
    </row>
    <row r="275" spans="1:18" x14ac:dyDescent="0.25">
      <c r="A275" t="s">
        <v>577</v>
      </c>
      <c r="B275" t="s">
        <v>578</v>
      </c>
      <c r="C275" t="s">
        <v>43</v>
      </c>
      <c r="D275">
        <v>35</v>
      </c>
      <c r="E275" t="s">
        <v>1036</v>
      </c>
      <c r="F275" t="s">
        <v>1037</v>
      </c>
      <c r="G275" t="s">
        <v>1023</v>
      </c>
      <c r="H275">
        <v>6</v>
      </c>
      <c r="I275" s="3" t="s">
        <v>34</v>
      </c>
      <c r="J275" s="3">
        <v>75</v>
      </c>
      <c r="K275">
        <v>1.6</v>
      </c>
      <c r="L275" t="b">
        <v>1</v>
      </c>
      <c r="M275" s="4">
        <v>0.97</v>
      </c>
      <c r="O275" s="3" t="s">
        <v>1046</v>
      </c>
      <c r="P275" t="s">
        <v>1025</v>
      </c>
      <c r="Q275" s="3">
        <v>13</v>
      </c>
      <c r="R275">
        <v>6</v>
      </c>
    </row>
    <row r="276" spans="1:18" x14ac:dyDescent="0.25">
      <c r="A276" t="s">
        <v>579</v>
      </c>
      <c r="B276" t="s">
        <v>580</v>
      </c>
      <c r="C276" t="s">
        <v>43</v>
      </c>
      <c r="D276">
        <v>59</v>
      </c>
      <c r="E276" t="s">
        <v>1063</v>
      </c>
      <c r="F276" t="s">
        <v>1064</v>
      </c>
      <c r="G276" t="s">
        <v>1033</v>
      </c>
      <c r="H276">
        <v>21</v>
      </c>
      <c r="I276" s="3">
        <v>100</v>
      </c>
      <c r="J276" s="3">
        <v>100</v>
      </c>
      <c r="K276">
        <v>0</v>
      </c>
      <c r="L276" t="b">
        <v>0</v>
      </c>
      <c r="M276" s="4">
        <v>0.7</v>
      </c>
      <c r="O276" s="3" t="s">
        <v>1046</v>
      </c>
      <c r="P276" t="s">
        <v>1029</v>
      </c>
      <c r="Q276" s="3">
        <v>17</v>
      </c>
      <c r="R276">
        <v>7</v>
      </c>
    </row>
    <row r="277" spans="1:18" x14ac:dyDescent="0.25">
      <c r="A277" t="s">
        <v>581</v>
      </c>
      <c r="B277" t="s">
        <v>582</v>
      </c>
      <c r="C277" t="s">
        <v>20</v>
      </c>
      <c r="D277">
        <v>26</v>
      </c>
      <c r="E277" t="s">
        <v>1069</v>
      </c>
      <c r="F277" t="s">
        <v>1070</v>
      </c>
      <c r="G277" t="s">
        <v>1049</v>
      </c>
      <c r="H277">
        <v>4</v>
      </c>
      <c r="I277" s="3" t="s">
        <v>21</v>
      </c>
      <c r="J277" s="3">
        <v>100</v>
      </c>
      <c r="K277">
        <v>3.6</v>
      </c>
      <c r="L277" t="s">
        <v>111</v>
      </c>
      <c r="M277" s="4">
        <v>0.81</v>
      </c>
      <c r="O277" s="3" t="s">
        <v>1038</v>
      </c>
      <c r="P277" t="s">
        <v>1042</v>
      </c>
      <c r="Q277" s="3">
        <v>5</v>
      </c>
      <c r="R277">
        <v>2</v>
      </c>
    </row>
    <row r="278" spans="1:18" x14ac:dyDescent="0.25">
      <c r="A278" t="s">
        <v>583</v>
      </c>
      <c r="B278" t="s">
        <v>584</v>
      </c>
      <c r="C278" t="s">
        <v>43</v>
      </c>
      <c r="D278">
        <v>44</v>
      </c>
      <c r="E278" t="s">
        <v>1060</v>
      </c>
      <c r="F278" t="s">
        <v>1061</v>
      </c>
      <c r="G278" t="s">
        <v>1035</v>
      </c>
      <c r="H278">
        <v>18</v>
      </c>
      <c r="I278" s="3">
        <v>20</v>
      </c>
      <c r="J278" s="3">
        <v>20</v>
      </c>
      <c r="K278">
        <v>4.7</v>
      </c>
      <c r="L278" t="b">
        <v>1</v>
      </c>
      <c r="M278" s="4">
        <v>0.88</v>
      </c>
      <c r="O278" s="3" t="s">
        <v>1038</v>
      </c>
      <c r="P278" t="s">
        <v>1029</v>
      </c>
      <c r="Q278" s="3">
        <v>15</v>
      </c>
      <c r="R278">
        <v>10</v>
      </c>
    </row>
    <row r="279" spans="1:18" x14ac:dyDescent="0.25">
      <c r="A279" t="s">
        <v>585</v>
      </c>
      <c r="B279" t="s">
        <v>586</v>
      </c>
      <c r="C279" t="s">
        <v>20</v>
      </c>
      <c r="D279">
        <v>31</v>
      </c>
      <c r="E279" t="s">
        <v>1067</v>
      </c>
      <c r="F279" t="s">
        <v>1068</v>
      </c>
      <c r="G279" t="s">
        <v>1049</v>
      </c>
      <c r="H279">
        <v>12</v>
      </c>
      <c r="I279" s="3" t="s">
        <v>26</v>
      </c>
      <c r="J279" s="3">
        <v>40</v>
      </c>
      <c r="K279">
        <v>2.4</v>
      </c>
      <c r="L279" t="b">
        <v>1</v>
      </c>
      <c r="M279" s="4">
        <v>1</v>
      </c>
      <c r="O279" s="3" t="s">
        <v>1046</v>
      </c>
      <c r="P279" t="s">
        <v>1025</v>
      </c>
      <c r="Q279" s="3">
        <v>15</v>
      </c>
      <c r="R279">
        <v>13</v>
      </c>
    </row>
    <row r="280" spans="1:18" x14ac:dyDescent="0.25">
      <c r="A280" t="s">
        <v>587</v>
      </c>
      <c r="B280" t="s">
        <v>1074</v>
      </c>
      <c r="C280" t="s">
        <v>43</v>
      </c>
      <c r="D280">
        <v>60</v>
      </c>
      <c r="E280" t="s">
        <v>1043</v>
      </c>
      <c r="F280" t="s">
        <v>1044</v>
      </c>
      <c r="G280" t="s">
        <v>1041</v>
      </c>
      <c r="H280">
        <v>6</v>
      </c>
      <c r="J280" s="3">
        <v>52</v>
      </c>
      <c r="K280">
        <v>3.2</v>
      </c>
      <c r="L280" t="b">
        <v>0</v>
      </c>
      <c r="M280" s="2">
        <v>95</v>
      </c>
      <c r="O280" s="3" t="s">
        <v>1045</v>
      </c>
      <c r="P280" t="s">
        <v>1029</v>
      </c>
      <c r="Q280" s="3">
        <v>10</v>
      </c>
      <c r="R280">
        <v>5</v>
      </c>
    </row>
    <row r="281" spans="1:18" x14ac:dyDescent="0.25">
      <c r="A281" t="s">
        <v>588</v>
      </c>
      <c r="B281" t="s">
        <v>589</v>
      </c>
      <c r="C281" t="s">
        <v>20</v>
      </c>
      <c r="D281">
        <v>23</v>
      </c>
      <c r="E281" t="s">
        <v>47</v>
      </c>
      <c r="F281" t="s">
        <v>1027</v>
      </c>
      <c r="G281" t="s">
        <v>1023</v>
      </c>
      <c r="H281">
        <v>4</v>
      </c>
      <c r="I281" s="3" t="s">
        <v>262</v>
      </c>
      <c r="J281" s="3">
        <v>20</v>
      </c>
      <c r="K281">
        <v>2.4</v>
      </c>
      <c r="L281" t="b">
        <v>0</v>
      </c>
      <c r="M281" s="4">
        <v>0.71</v>
      </c>
      <c r="O281" s="3" t="s">
        <v>1038</v>
      </c>
      <c r="P281" t="s">
        <v>1042</v>
      </c>
      <c r="Q281" s="3">
        <v>3</v>
      </c>
      <c r="R281">
        <v>5</v>
      </c>
    </row>
    <row r="282" spans="1:18" x14ac:dyDescent="0.25">
      <c r="A282" t="s">
        <v>590</v>
      </c>
      <c r="B282" t="s">
        <v>591</v>
      </c>
      <c r="C282" t="s">
        <v>43</v>
      </c>
      <c r="D282">
        <v>42</v>
      </c>
      <c r="E282" t="s">
        <v>1039</v>
      </c>
      <c r="F282" t="s">
        <v>1040</v>
      </c>
      <c r="G282" t="s">
        <v>1049</v>
      </c>
      <c r="H282">
        <v>13</v>
      </c>
      <c r="I282" s="3" t="s">
        <v>82</v>
      </c>
      <c r="J282" s="3">
        <v>20</v>
      </c>
      <c r="K282">
        <v>4.7</v>
      </c>
      <c r="L282" t="b">
        <v>0</v>
      </c>
      <c r="M282" s="4">
        <v>0.85</v>
      </c>
      <c r="O282" s="3" t="s">
        <v>1045</v>
      </c>
      <c r="P282" t="s">
        <v>1032</v>
      </c>
      <c r="Q282" s="3">
        <v>9</v>
      </c>
      <c r="R282">
        <v>3</v>
      </c>
    </row>
    <row r="283" spans="1:18" x14ac:dyDescent="0.25">
      <c r="A283" t="s">
        <v>592</v>
      </c>
      <c r="B283" t="s">
        <v>593</v>
      </c>
      <c r="C283" t="s">
        <v>20</v>
      </c>
      <c r="D283">
        <v>48</v>
      </c>
      <c r="E283" t="s">
        <v>1055</v>
      </c>
      <c r="F283" t="s">
        <v>1056</v>
      </c>
      <c r="G283" t="s">
        <v>1028</v>
      </c>
      <c r="H283">
        <v>6</v>
      </c>
      <c r="I283" s="3">
        <v>30</v>
      </c>
      <c r="J283" s="3">
        <v>30</v>
      </c>
      <c r="K283">
        <v>2.4</v>
      </c>
      <c r="L283" t="b">
        <v>0</v>
      </c>
      <c r="M283" s="4">
        <v>0.96</v>
      </c>
      <c r="O283" s="3" t="s">
        <v>1046</v>
      </c>
      <c r="P283" t="s">
        <v>1029</v>
      </c>
      <c r="Q283" s="3">
        <v>11</v>
      </c>
      <c r="R283">
        <v>7</v>
      </c>
    </row>
    <row r="284" spans="1:18" x14ac:dyDescent="0.25">
      <c r="A284" t="s">
        <v>594</v>
      </c>
      <c r="B284" t="s">
        <v>595</v>
      </c>
      <c r="C284" t="s">
        <v>43</v>
      </c>
      <c r="D284">
        <v>42</v>
      </c>
      <c r="E284" t="s">
        <v>1036</v>
      </c>
      <c r="F284" t="s">
        <v>1037</v>
      </c>
      <c r="G284" t="s">
        <v>1031</v>
      </c>
      <c r="H284">
        <v>10</v>
      </c>
      <c r="I284" s="3" t="s">
        <v>262</v>
      </c>
      <c r="J284" s="3">
        <v>20</v>
      </c>
      <c r="K284">
        <v>2.4</v>
      </c>
      <c r="L284" t="b">
        <v>1</v>
      </c>
      <c r="M284" s="4">
        <v>0.92</v>
      </c>
      <c r="O284" s="3" t="s">
        <v>1046</v>
      </c>
      <c r="P284" t="s">
        <v>1029</v>
      </c>
      <c r="Q284" s="3">
        <v>11</v>
      </c>
      <c r="R284">
        <v>6</v>
      </c>
    </row>
    <row r="285" spans="1:18" x14ac:dyDescent="0.25">
      <c r="A285" t="s">
        <v>596</v>
      </c>
      <c r="B285" t="s">
        <v>597</v>
      </c>
      <c r="C285" t="s">
        <v>43</v>
      </c>
      <c r="D285">
        <v>52</v>
      </c>
      <c r="E285" t="s">
        <v>1051</v>
      </c>
      <c r="F285" t="s">
        <v>1059</v>
      </c>
      <c r="G285" t="s">
        <v>1050</v>
      </c>
      <c r="H285">
        <v>20</v>
      </c>
      <c r="I285" s="3">
        <v>50</v>
      </c>
      <c r="J285" s="3">
        <v>50</v>
      </c>
      <c r="K285">
        <v>2.4</v>
      </c>
      <c r="L285" t="b">
        <v>0</v>
      </c>
      <c r="M285" s="4">
        <v>0.79</v>
      </c>
      <c r="O285" s="3" t="s">
        <v>1024</v>
      </c>
      <c r="P285" t="s">
        <v>1042</v>
      </c>
      <c r="Q285" s="3">
        <v>14</v>
      </c>
      <c r="R285">
        <v>10</v>
      </c>
    </row>
    <row r="286" spans="1:18" x14ac:dyDescent="0.25">
      <c r="A286" t="s">
        <v>598</v>
      </c>
      <c r="B286" t="s">
        <v>599</v>
      </c>
      <c r="C286" t="s">
        <v>20</v>
      </c>
      <c r="D286">
        <v>55</v>
      </c>
      <c r="E286" t="s">
        <v>1052</v>
      </c>
      <c r="F286" t="s">
        <v>1053</v>
      </c>
      <c r="G286" t="s">
        <v>1033</v>
      </c>
      <c r="H286">
        <v>20</v>
      </c>
      <c r="I286" s="3">
        <v>75</v>
      </c>
      <c r="J286" s="3">
        <v>75</v>
      </c>
      <c r="K286">
        <v>2.9</v>
      </c>
      <c r="L286" t="b">
        <v>0</v>
      </c>
      <c r="M286" s="2"/>
      <c r="O286" s="3" t="s">
        <v>1038</v>
      </c>
      <c r="P286" t="s">
        <v>1042</v>
      </c>
      <c r="Q286" s="3">
        <v>12</v>
      </c>
      <c r="R286">
        <v>11</v>
      </c>
    </row>
    <row r="287" spans="1:18" x14ac:dyDescent="0.25">
      <c r="A287" t="s">
        <v>600</v>
      </c>
      <c r="B287" t="s">
        <v>601</v>
      </c>
      <c r="C287" t="s">
        <v>20</v>
      </c>
      <c r="D287">
        <v>58</v>
      </c>
      <c r="E287" t="s">
        <v>1067</v>
      </c>
      <c r="F287" t="s">
        <v>1068</v>
      </c>
      <c r="G287" t="s">
        <v>1050</v>
      </c>
      <c r="H287">
        <v>11</v>
      </c>
      <c r="I287" s="3">
        <v>50</v>
      </c>
      <c r="J287" s="3">
        <v>50</v>
      </c>
      <c r="K287">
        <v>0</v>
      </c>
      <c r="L287" t="b">
        <v>0</v>
      </c>
      <c r="M287" s="2"/>
      <c r="O287" s="3" t="s">
        <v>1046</v>
      </c>
      <c r="P287" t="s">
        <v>1029</v>
      </c>
      <c r="Q287" s="3">
        <v>8</v>
      </c>
      <c r="R287">
        <v>5</v>
      </c>
    </row>
    <row r="288" spans="1:18" x14ac:dyDescent="0.25">
      <c r="A288" t="s">
        <v>602</v>
      </c>
      <c r="B288" t="s">
        <v>603</v>
      </c>
      <c r="C288" t="s">
        <v>20</v>
      </c>
      <c r="D288">
        <v>46</v>
      </c>
      <c r="E288" t="s">
        <v>1051</v>
      </c>
      <c r="F288" t="s">
        <v>1059</v>
      </c>
      <c r="G288" t="s">
        <v>1035</v>
      </c>
      <c r="H288">
        <v>12</v>
      </c>
      <c r="I288" s="3">
        <v>20</v>
      </c>
      <c r="J288" s="3">
        <v>20</v>
      </c>
      <c r="K288">
        <v>0</v>
      </c>
      <c r="L288" t="b">
        <v>0</v>
      </c>
      <c r="M288" s="4">
        <v>0.89</v>
      </c>
      <c r="O288" s="3" t="s">
        <v>1024</v>
      </c>
      <c r="P288" t="s">
        <v>1025</v>
      </c>
      <c r="Q288" s="3">
        <v>10</v>
      </c>
      <c r="R288">
        <v>4</v>
      </c>
    </row>
    <row r="289" spans="1:18" x14ac:dyDescent="0.25">
      <c r="A289" t="s">
        <v>604</v>
      </c>
      <c r="B289" t="s">
        <v>605</v>
      </c>
      <c r="C289" t="s">
        <v>20</v>
      </c>
      <c r="D289">
        <v>45</v>
      </c>
      <c r="E289" t="s">
        <v>1072</v>
      </c>
      <c r="F289" t="s">
        <v>1048</v>
      </c>
      <c r="G289" t="s">
        <v>1035</v>
      </c>
      <c r="H289">
        <v>1</v>
      </c>
      <c r="I289" s="3">
        <v>100</v>
      </c>
      <c r="J289" s="3">
        <v>100</v>
      </c>
      <c r="K289">
        <v>1.5</v>
      </c>
      <c r="L289" t="b">
        <v>1</v>
      </c>
      <c r="M289" s="4">
        <v>1</v>
      </c>
      <c r="O289" s="3" t="s">
        <v>1038</v>
      </c>
      <c r="P289" t="s">
        <v>1029</v>
      </c>
      <c r="Q289" s="3">
        <v>4</v>
      </c>
      <c r="R289">
        <v>4</v>
      </c>
    </row>
    <row r="290" spans="1:18" x14ac:dyDescent="0.25">
      <c r="A290" t="s">
        <v>606</v>
      </c>
      <c r="B290" t="s">
        <v>607</v>
      </c>
      <c r="C290" t="s">
        <v>20</v>
      </c>
      <c r="D290">
        <v>56</v>
      </c>
      <c r="E290" t="s">
        <v>1055</v>
      </c>
      <c r="F290" t="s">
        <v>1056</v>
      </c>
      <c r="G290" t="s">
        <v>1035</v>
      </c>
      <c r="H290">
        <v>2</v>
      </c>
      <c r="I290" s="3">
        <v>30</v>
      </c>
      <c r="J290" s="3">
        <v>30</v>
      </c>
      <c r="K290">
        <v>1.9</v>
      </c>
      <c r="L290" t="b">
        <v>1</v>
      </c>
      <c r="M290" s="4">
        <v>0.81</v>
      </c>
      <c r="O290" s="3" t="s">
        <v>1046</v>
      </c>
      <c r="P290" t="s">
        <v>1042</v>
      </c>
      <c r="Q290" s="3">
        <v>1</v>
      </c>
      <c r="R290">
        <v>1</v>
      </c>
    </row>
    <row r="291" spans="1:18" x14ac:dyDescent="0.25">
      <c r="A291" t="s">
        <v>608</v>
      </c>
      <c r="B291" t="s">
        <v>609</v>
      </c>
      <c r="C291" t="s">
        <v>43</v>
      </c>
      <c r="D291">
        <v>44</v>
      </c>
      <c r="E291" t="s">
        <v>47</v>
      </c>
      <c r="F291" t="s">
        <v>1027</v>
      </c>
      <c r="G291" t="s">
        <v>1023</v>
      </c>
      <c r="H291">
        <v>13</v>
      </c>
      <c r="I291" s="3">
        <v>100</v>
      </c>
      <c r="J291" s="3">
        <v>100</v>
      </c>
      <c r="K291">
        <v>3.1</v>
      </c>
      <c r="L291" t="b">
        <v>1</v>
      </c>
      <c r="M291" s="2">
        <v>95</v>
      </c>
      <c r="O291" s="3" t="s">
        <v>1046</v>
      </c>
      <c r="P291" t="s">
        <v>1032</v>
      </c>
      <c r="Q291" s="3">
        <v>10</v>
      </c>
      <c r="R291">
        <v>3</v>
      </c>
    </row>
    <row r="292" spans="1:18" x14ac:dyDescent="0.25">
      <c r="A292" t="s">
        <v>610</v>
      </c>
      <c r="B292" t="s">
        <v>611</v>
      </c>
      <c r="C292" t="s">
        <v>43</v>
      </c>
      <c r="D292">
        <v>46</v>
      </c>
      <c r="E292" t="s">
        <v>1039</v>
      </c>
      <c r="F292" t="s">
        <v>1040</v>
      </c>
      <c r="G292" t="s">
        <v>1049</v>
      </c>
      <c r="H292">
        <v>0</v>
      </c>
      <c r="J292" s="3">
        <v>52</v>
      </c>
      <c r="K292">
        <v>1.8</v>
      </c>
      <c r="L292" t="b">
        <v>0</v>
      </c>
      <c r="M292" s="4">
        <v>0.88</v>
      </c>
      <c r="O292" s="3" t="s">
        <v>1038</v>
      </c>
      <c r="P292" t="s">
        <v>1032</v>
      </c>
      <c r="Q292" s="3">
        <v>3</v>
      </c>
      <c r="R292">
        <v>2</v>
      </c>
    </row>
    <row r="293" spans="1:18" x14ac:dyDescent="0.25">
      <c r="A293" t="s">
        <v>612</v>
      </c>
      <c r="B293" t="s">
        <v>613</v>
      </c>
      <c r="C293" t="s">
        <v>20</v>
      </c>
      <c r="D293">
        <v>27</v>
      </c>
      <c r="E293" t="s">
        <v>1052</v>
      </c>
      <c r="F293" t="s">
        <v>1053</v>
      </c>
      <c r="G293" t="s">
        <v>1033</v>
      </c>
      <c r="H293">
        <v>7</v>
      </c>
      <c r="I293" s="3">
        <v>30</v>
      </c>
      <c r="J293" s="3">
        <v>30</v>
      </c>
      <c r="K293">
        <v>2.4</v>
      </c>
      <c r="L293" t="b">
        <v>1</v>
      </c>
      <c r="M293" s="4">
        <v>0.66</v>
      </c>
      <c r="O293" s="3" t="s">
        <v>1038</v>
      </c>
      <c r="P293" t="s">
        <v>1025</v>
      </c>
      <c r="Q293" s="3">
        <v>12</v>
      </c>
      <c r="R293">
        <v>8</v>
      </c>
    </row>
    <row r="294" spans="1:18" x14ac:dyDescent="0.25">
      <c r="A294" t="s">
        <v>614</v>
      </c>
      <c r="B294" t="s">
        <v>615</v>
      </c>
      <c r="C294" t="s">
        <v>20</v>
      </c>
      <c r="D294">
        <v>49</v>
      </c>
      <c r="E294" t="s">
        <v>1055</v>
      </c>
      <c r="F294" t="s">
        <v>1056</v>
      </c>
      <c r="G294" t="s">
        <v>1023</v>
      </c>
      <c r="H294">
        <v>13</v>
      </c>
      <c r="I294" s="3">
        <v>100</v>
      </c>
      <c r="J294" s="3">
        <v>100</v>
      </c>
      <c r="K294">
        <v>4.2</v>
      </c>
      <c r="L294" t="b">
        <v>1</v>
      </c>
      <c r="M294" s="4">
        <v>0.84</v>
      </c>
      <c r="O294" s="3" t="s">
        <v>1038</v>
      </c>
      <c r="P294" t="s">
        <v>1029</v>
      </c>
      <c r="Q294" s="3">
        <v>7</v>
      </c>
      <c r="R294">
        <v>4</v>
      </c>
    </row>
    <row r="295" spans="1:18" x14ac:dyDescent="0.25">
      <c r="A295" t="s">
        <v>616</v>
      </c>
      <c r="B295" t="s">
        <v>617</v>
      </c>
      <c r="C295" t="s">
        <v>43</v>
      </c>
      <c r="D295">
        <v>53</v>
      </c>
      <c r="E295" t="s">
        <v>1071</v>
      </c>
      <c r="F295" t="s">
        <v>1048</v>
      </c>
      <c r="G295" t="s">
        <v>1033</v>
      </c>
      <c r="H295">
        <v>21</v>
      </c>
      <c r="I295" s="3" t="s">
        <v>44</v>
      </c>
      <c r="J295" s="3">
        <v>50</v>
      </c>
      <c r="K295">
        <v>1.4</v>
      </c>
      <c r="L295" t="b">
        <v>0</v>
      </c>
      <c r="M295" s="2"/>
      <c r="O295" s="3" t="s">
        <v>1046</v>
      </c>
      <c r="P295" t="s">
        <v>1032</v>
      </c>
      <c r="Q295" s="3">
        <v>20</v>
      </c>
      <c r="R295">
        <v>7</v>
      </c>
    </row>
    <row r="296" spans="1:18" x14ac:dyDescent="0.25">
      <c r="A296" t="s">
        <v>618</v>
      </c>
      <c r="B296" t="s">
        <v>619</v>
      </c>
      <c r="C296" t="s">
        <v>43</v>
      </c>
      <c r="D296">
        <v>56</v>
      </c>
      <c r="E296" t="s">
        <v>1026</v>
      </c>
      <c r="F296" t="s">
        <v>1027</v>
      </c>
      <c r="G296" t="s">
        <v>1033</v>
      </c>
      <c r="H296">
        <v>19</v>
      </c>
      <c r="I296" s="3">
        <v>40</v>
      </c>
      <c r="J296" s="3">
        <v>40</v>
      </c>
      <c r="K296">
        <v>1.2</v>
      </c>
      <c r="L296" t="b">
        <v>1</v>
      </c>
      <c r="M296" s="4">
        <v>0.82</v>
      </c>
      <c r="O296" s="3" t="s">
        <v>1046</v>
      </c>
      <c r="P296" t="s">
        <v>1029</v>
      </c>
      <c r="Q296" s="3">
        <v>11</v>
      </c>
      <c r="R296">
        <v>3</v>
      </c>
    </row>
    <row r="297" spans="1:18" x14ac:dyDescent="0.25">
      <c r="A297" t="s">
        <v>620</v>
      </c>
      <c r="B297" t="s">
        <v>621</v>
      </c>
      <c r="C297" t="s">
        <v>20</v>
      </c>
      <c r="D297">
        <v>56</v>
      </c>
      <c r="E297" t="s">
        <v>47</v>
      </c>
      <c r="F297" t="s">
        <v>1027</v>
      </c>
      <c r="G297" t="s">
        <v>1054</v>
      </c>
      <c r="H297">
        <v>34</v>
      </c>
      <c r="J297" s="3">
        <v>52</v>
      </c>
      <c r="K297">
        <v>2.1</v>
      </c>
      <c r="L297" t="b">
        <v>1</v>
      </c>
      <c r="M297" s="4">
        <v>0.84</v>
      </c>
      <c r="O297" s="3" t="s">
        <v>1024</v>
      </c>
      <c r="P297" t="s">
        <v>1042</v>
      </c>
      <c r="Q297" s="3">
        <v>17</v>
      </c>
      <c r="R297">
        <v>11</v>
      </c>
    </row>
    <row r="298" spans="1:18" x14ac:dyDescent="0.25">
      <c r="A298" t="s">
        <v>622</v>
      </c>
      <c r="B298" t="s">
        <v>623</v>
      </c>
      <c r="C298" t="s">
        <v>43</v>
      </c>
      <c r="D298">
        <v>38</v>
      </c>
      <c r="E298" t="s">
        <v>1067</v>
      </c>
      <c r="F298" t="s">
        <v>1068</v>
      </c>
      <c r="G298" t="s">
        <v>1041</v>
      </c>
      <c r="H298">
        <v>3</v>
      </c>
      <c r="I298" s="3">
        <v>100</v>
      </c>
      <c r="J298" s="3">
        <v>100</v>
      </c>
      <c r="K298">
        <v>1.4</v>
      </c>
      <c r="L298" t="b">
        <v>0</v>
      </c>
      <c r="M298" s="4">
        <v>0.73</v>
      </c>
      <c r="O298" s="3" t="s">
        <v>1045</v>
      </c>
      <c r="P298" t="s">
        <v>1032</v>
      </c>
      <c r="Q298" s="3">
        <v>3</v>
      </c>
      <c r="R298">
        <v>5</v>
      </c>
    </row>
    <row r="299" spans="1:18" x14ac:dyDescent="0.25">
      <c r="A299" t="s">
        <v>624</v>
      </c>
      <c r="B299" t="s">
        <v>625</v>
      </c>
      <c r="C299" t="s">
        <v>43</v>
      </c>
      <c r="D299">
        <v>20</v>
      </c>
      <c r="E299" t="s">
        <v>1051</v>
      </c>
      <c r="F299" t="s">
        <v>1059</v>
      </c>
      <c r="G299" t="s">
        <v>1028</v>
      </c>
      <c r="H299">
        <v>0</v>
      </c>
      <c r="I299" s="3">
        <v>30</v>
      </c>
      <c r="J299" s="3">
        <v>30</v>
      </c>
      <c r="K299">
        <v>3.8</v>
      </c>
      <c r="L299" t="b">
        <v>0</v>
      </c>
      <c r="M299" s="4">
        <v>0.93</v>
      </c>
      <c r="O299" s="3" t="s">
        <v>1038</v>
      </c>
      <c r="P299" t="s">
        <v>1025</v>
      </c>
      <c r="Q299" s="3">
        <v>5</v>
      </c>
      <c r="R299">
        <v>2</v>
      </c>
    </row>
    <row r="300" spans="1:18" x14ac:dyDescent="0.25">
      <c r="A300" t="s">
        <v>626</v>
      </c>
      <c r="B300" t="s">
        <v>627</v>
      </c>
      <c r="C300" t="s">
        <v>20</v>
      </c>
      <c r="D300">
        <v>38</v>
      </c>
      <c r="E300" t="s">
        <v>1062</v>
      </c>
      <c r="F300" t="s">
        <v>1027</v>
      </c>
      <c r="G300" t="s">
        <v>1035</v>
      </c>
      <c r="H300">
        <v>20</v>
      </c>
      <c r="I300" s="3">
        <v>50</v>
      </c>
      <c r="J300" s="3">
        <v>50</v>
      </c>
      <c r="K300">
        <v>0</v>
      </c>
      <c r="L300" t="b">
        <v>0</v>
      </c>
      <c r="M300" s="4">
        <v>0.64</v>
      </c>
      <c r="O300" s="3" t="s">
        <v>1046</v>
      </c>
      <c r="P300" t="s">
        <v>1042</v>
      </c>
      <c r="Q300" s="3">
        <v>10</v>
      </c>
      <c r="R300">
        <v>2</v>
      </c>
    </row>
    <row r="301" spans="1:18" x14ac:dyDescent="0.25">
      <c r="A301" t="s">
        <v>628</v>
      </c>
      <c r="B301" t="s">
        <v>629</v>
      </c>
      <c r="C301" t="s">
        <v>20</v>
      </c>
      <c r="D301">
        <v>41</v>
      </c>
      <c r="E301" t="s">
        <v>1036</v>
      </c>
      <c r="F301" t="s">
        <v>1037</v>
      </c>
      <c r="G301" t="s">
        <v>1028</v>
      </c>
      <c r="H301">
        <v>6</v>
      </c>
      <c r="I301" s="3">
        <v>40</v>
      </c>
      <c r="J301" s="3">
        <v>40</v>
      </c>
      <c r="K301">
        <v>3.5</v>
      </c>
      <c r="L301" t="b">
        <v>0</v>
      </c>
      <c r="M301" s="4">
        <v>0.76</v>
      </c>
      <c r="O301" s="3" t="s">
        <v>1046</v>
      </c>
      <c r="P301" t="s">
        <v>1025</v>
      </c>
      <c r="Q301" s="3">
        <v>15</v>
      </c>
      <c r="R301">
        <v>6</v>
      </c>
    </row>
    <row r="302" spans="1:18" x14ac:dyDescent="0.25">
      <c r="A302" t="s">
        <v>630</v>
      </c>
      <c r="B302" t="s">
        <v>631</v>
      </c>
      <c r="C302" t="s">
        <v>43</v>
      </c>
      <c r="D302">
        <v>46</v>
      </c>
      <c r="E302" t="s">
        <v>1055</v>
      </c>
      <c r="F302" t="s">
        <v>1056</v>
      </c>
      <c r="G302" t="s">
        <v>1035</v>
      </c>
      <c r="H302">
        <v>13</v>
      </c>
      <c r="I302" s="3" t="s">
        <v>177</v>
      </c>
      <c r="J302" s="3">
        <v>100</v>
      </c>
      <c r="K302">
        <v>0</v>
      </c>
      <c r="L302" t="b">
        <v>1</v>
      </c>
      <c r="M302" s="4">
        <v>0.97</v>
      </c>
      <c r="O302" s="3" t="s">
        <v>1038</v>
      </c>
      <c r="P302" t="s">
        <v>1042</v>
      </c>
      <c r="Q302" s="3">
        <v>9</v>
      </c>
      <c r="R302">
        <v>12</v>
      </c>
    </row>
    <row r="303" spans="1:18" x14ac:dyDescent="0.25">
      <c r="A303" t="s">
        <v>632</v>
      </c>
      <c r="B303" t="s">
        <v>633</v>
      </c>
      <c r="C303" t="s">
        <v>43</v>
      </c>
      <c r="D303">
        <v>36</v>
      </c>
      <c r="E303" t="s">
        <v>1067</v>
      </c>
      <c r="F303" t="s">
        <v>1068</v>
      </c>
      <c r="G303" t="s">
        <v>1041</v>
      </c>
      <c r="H303">
        <v>9</v>
      </c>
      <c r="I303" s="3">
        <v>75</v>
      </c>
      <c r="J303" s="3">
        <v>75</v>
      </c>
      <c r="K303">
        <v>2.2000000000000002</v>
      </c>
      <c r="L303" t="b">
        <v>0</v>
      </c>
      <c r="M303" s="4">
        <v>0.95</v>
      </c>
      <c r="O303" s="3" t="s">
        <v>1045</v>
      </c>
      <c r="P303" t="s">
        <v>1032</v>
      </c>
      <c r="Q303" s="3">
        <v>11</v>
      </c>
      <c r="R303">
        <v>1</v>
      </c>
    </row>
    <row r="304" spans="1:18" x14ac:dyDescent="0.25">
      <c r="A304" t="s">
        <v>634</v>
      </c>
      <c r="B304" t="s">
        <v>1075</v>
      </c>
      <c r="C304" t="s">
        <v>43</v>
      </c>
      <c r="D304">
        <v>33</v>
      </c>
      <c r="E304" t="s">
        <v>1060</v>
      </c>
      <c r="F304" t="s">
        <v>1061</v>
      </c>
      <c r="G304" t="s">
        <v>1033</v>
      </c>
      <c r="H304">
        <v>2</v>
      </c>
      <c r="I304" s="3">
        <v>75</v>
      </c>
      <c r="J304" s="3">
        <v>75</v>
      </c>
      <c r="K304">
        <v>2.4</v>
      </c>
      <c r="L304" t="b">
        <v>0</v>
      </c>
      <c r="M304" s="4">
        <v>0.65</v>
      </c>
      <c r="O304" s="3" t="s">
        <v>1038</v>
      </c>
      <c r="P304" t="s">
        <v>1025</v>
      </c>
      <c r="Q304" s="3">
        <v>4</v>
      </c>
      <c r="R304">
        <v>1</v>
      </c>
    </row>
    <row r="305" spans="1:18" x14ac:dyDescent="0.25">
      <c r="A305" t="s">
        <v>635</v>
      </c>
      <c r="B305" t="s">
        <v>636</v>
      </c>
      <c r="C305" t="s">
        <v>20</v>
      </c>
      <c r="D305">
        <v>37</v>
      </c>
      <c r="E305" t="s">
        <v>1062</v>
      </c>
      <c r="F305" t="s">
        <v>1027</v>
      </c>
      <c r="G305" t="s">
        <v>1031</v>
      </c>
      <c r="H305">
        <v>0</v>
      </c>
      <c r="I305" s="3" t="s">
        <v>64</v>
      </c>
      <c r="J305" s="3">
        <v>50</v>
      </c>
      <c r="K305">
        <v>4.7</v>
      </c>
      <c r="L305" t="b">
        <v>0</v>
      </c>
      <c r="M305" s="4">
        <v>0.77</v>
      </c>
      <c r="O305" s="3" t="s">
        <v>1045</v>
      </c>
      <c r="P305" t="s">
        <v>1025</v>
      </c>
      <c r="Q305" s="3">
        <v>3</v>
      </c>
      <c r="R305">
        <v>2</v>
      </c>
    </row>
    <row r="306" spans="1:18" x14ac:dyDescent="0.25">
      <c r="A306" t="s">
        <v>637</v>
      </c>
      <c r="B306" t="s">
        <v>638</v>
      </c>
      <c r="C306" t="s">
        <v>43</v>
      </c>
      <c r="D306">
        <v>20</v>
      </c>
      <c r="E306" t="s">
        <v>1065</v>
      </c>
      <c r="F306" t="s">
        <v>1066</v>
      </c>
      <c r="G306" t="s">
        <v>1041</v>
      </c>
      <c r="H306">
        <v>0</v>
      </c>
      <c r="I306" s="3">
        <v>20</v>
      </c>
      <c r="J306" s="3">
        <v>20</v>
      </c>
      <c r="K306">
        <v>3.9</v>
      </c>
      <c r="L306" t="b">
        <v>0</v>
      </c>
      <c r="M306" s="2"/>
      <c r="O306" s="3" t="s">
        <v>1046</v>
      </c>
      <c r="P306" t="s">
        <v>1042</v>
      </c>
      <c r="Q306" s="3">
        <v>1</v>
      </c>
      <c r="R306">
        <v>1</v>
      </c>
    </row>
    <row r="307" spans="1:18" x14ac:dyDescent="0.25">
      <c r="A307" t="s">
        <v>639</v>
      </c>
      <c r="B307" t="s">
        <v>640</v>
      </c>
      <c r="C307" t="s">
        <v>20</v>
      </c>
      <c r="D307">
        <v>48</v>
      </c>
      <c r="E307" t="s">
        <v>1069</v>
      </c>
      <c r="F307" t="s">
        <v>1070</v>
      </c>
      <c r="G307" t="s">
        <v>1041</v>
      </c>
      <c r="H307">
        <v>2</v>
      </c>
      <c r="I307" s="3">
        <v>75</v>
      </c>
      <c r="J307" s="3">
        <v>75</v>
      </c>
      <c r="K307">
        <v>1.6</v>
      </c>
      <c r="L307" t="b">
        <v>0</v>
      </c>
      <c r="M307" s="4">
        <v>0.67</v>
      </c>
      <c r="O307" s="3" t="s">
        <v>1045</v>
      </c>
      <c r="P307" t="s">
        <v>1025</v>
      </c>
      <c r="Q307" s="3">
        <v>5</v>
      </c>
      <c r="R307">
        <v>2</v>
      </c>
    </row>
    <row r="308" spans="1:18" x14ac:dyDescent="0.25">
      <c r="A308" t="s">
        <v>641</v>
      </c>
      <c r="B308" t="s">
        <v>642</v>
      </c>
      <c r="C308" t="s">
        <v>43</v>
      </c>
      <c r="D308">
        <v>27</v>
      </c>
      <c r="E308" t="s">
        <v>1063</v>
      </c>
      <c r="F308" t="s">
        <v>1064</v>
      </c>
      <c r="G308" t="s">
        <v>1050</v>
      </c>
      <c r="H308">
        <v>2</v>
      </c>
      <c r="I308" s="3" t="s">
        <v>44</v>
      </c>
      <c r="J308" s="3">
        <v>50</v>
      </c>
      <c r="K308">
        <v>2.4</v>
      </c>
      <c r="L308" t="b">
        <v>0</v>
      </c>
      <c r="M308" s="4">
        <v>0.84</v>
      </c>
      <c r="O308" s="3" t="s">
        <v>1024</v>
      </c>
      <c r="P308" t="s">
        <v>1042</v>
      </c>
      <c r="Q308" s="3">
        <v>2</v>
      </c>
      <c r="R308">
        <v>3</v>
      </c>
    </row>
    <row r="309" spans="1:18" x14ac:dyDescent="0.25">
      <c r="A309" t="s">
        <v>643</v>
      </c>
      <c r="B309" t="s">
        <v>644</v>
      </c>
      <c r="C309" t="s">
        <v>43</v>
      </c>
      <c r="D309">
        <v>34</v>
      </c>
      <c r="E309" t="s">
        <v>1051</v>
      </c>
      <c r="F309" t="s">
        <v>1059</v>
      </c>
      <c r="G309" t="s">
        <v>1028</v>
      </c>
      <c r="H309">
        <v>1</v>
      </c>
      <c r="I309" s="3">
        <v>30</v>
      </c>
      <c r="J309" s="3">
        <v>30</v>
      </c>
      <c r="K309">
        <v>3.6</v>
      </c>
      <c r="L309" t="b">
        <v>1</v>
      </c>
      <c r="M309" s="4">
        <v>0.87</v>
      </c>
      <c r="O309" s="3" t="s">
        <v>1046</v>
      </c>
      <c r="P309" t="s">
        <v>1042</v>
      </c>
      <c r="Q309" s="3">
        <v>2</v>
      </c>
      <c r="R309">
        <v>2</v>
      </c>
    </row>
    <row r="310" spans="1:18" x14ac:dyDescent="0.25">
      <c r="A310" t="s">
        <v>645</v>
      </c>
      <c r="B310" t="s">
        <v>646</v>
      </c>
      <c r="C310" t="s">
        <v>43</v>
      </c>
      <c r="D310">
        <v>55</v>
      </c>
      <c r="E310" t="s">
        <v>1057</v>
      </c>
      <c r="F310" t="s">
        <v>1058</v>
      </c>
      <c r="G310" t="s">
        <v>1035</v>
      </c>
      <c r="H310">
        <v>14</v>
      </c>
      <c r="I310" s="3" t="s">
        <v>73</v>
      </c>
      <c r="J310" s="3">
        <v>30</v>
      </c>
      <c r="K310">
        <v>1.2</v>
      </c>
      <c r="L310" t="b">
        <v>1</v>
      </c>
      <c r="M310" s="4">
        <v>0.91</v>
      </c>
      <c r="O310" s="3" t="s">
        <v>1024</v>
      </c>
      <c r="P310" t="s">
        <v>1042</v>
      </c>
      <c r="Q310" s="3">
        <v>7</v>
      </c>
      <c r="R310">
        <v>6</v>
      </c>
    </row>
    <row r="311" spans="1:18" x14ac:dyDescent="0.25">
      <c r="A311" t="s">
        <v>647</v>
      </c>
      <c r="B311" t="s">
        <v>648</v>
      </c>
      <c r="C311" t="s">
        <v>20</v>
      </c>
      <c r="D311">
        <v>44</v>
      </c>
      <c r="E311" t="s">
        <v>1067</v>
      </c>
      <c r="F311" t="s">
        <v>1068</v>
      </c>
      <c r="G311" t="s">
        <v>1035</v>
      </c>
      <c r="H311">
        <v>14</v>
      </c>
      <c r="I311" s="3" t="s">
        <v>34</v>
      </c>
      <c r="J311" s="3">
        <v>75</v>
      </c>
      <c r="K311">
        <v>3</v>
      </c>
      <c r="L311" t="b">
        <v>0</v>
      </c>
      <c r="M311" s="4">
        <v>0.78</v>
      </c>
      <c r="O311" s="3" t="s">
        <v>1038</v>
      </c>
      <c r="P311" t="s">
        <v>1042</v>
      </c>
      <c r="Q311" s="3">
        <v>13</v>
      </c>
      <c r="R311">
        <v>6</v>
      </c>
    </row>
    <row r="312" spans="1:18" x14ac:dyDescent="0.25">
      <c r="A312" t="s">
        <v>649</v>
      </c>
      <c r="B312" t="s">
        <v>650</v>
      </c>
      <c r="C312" t="s">
        <v>43</v>
      </c>
      <c r="D312">
        <v>31</v>
      </c>
      <c r="E312" t="s">
        <v>1036</v>
      </c>
      <c r="F312" t="s">
        <v>1037</v>
      </c>
      <c r="G312" t="s">
        <v>1049</v>
      </c>
      <c r="H312">
        <v>2</v>
      </c>
      <c r="I312" s="3">
        <v>50</v>
      </c>
      <c r="J312" s="3">
        <v>50</v>
      </c>
      <c r="K312">
        <v>3.9</v>
      </c>
      <c r="L312" t="b">
        <v>0</v>
      </c>
      <c r="M312" s="2"/>
      <c r="O312" s="3" t="s">
        <v>1038</v>
      </c>
      <c r="P312" t="s">
        <v>1032</v>
      </c>
      <c r="Q312" s="3">
        <v>4</v>
      </c>
      <c r="R312">
        <v>1</v>
      </c>
    </row>
    <row r="313" spans="1:18" x14ac:dyDescent="0.25">
      <c r="A313" t="s">
        <v>651</v>
      </c>
      <c r="B313" t="s">
        <v>652</v>
      </c>
      <c r="C313" t="s">
        <v>43</v>
      </c>
      <c r="D313">
        <v>34</v>
      </c>
      <c r="E313" t="s">
        <v>1026</v>
      </c>
      <c r="F313" t="s">
        <v>1027</v>
      </c>
      <c r="G313" t="s">
        <v>1054</v>
      </c>
      <c r="H313">
        <v>1</v>
      </c>
      <c r="I313" s="3">
        <v>40</v>
      </c>
      <c r="J313" s="3">
        <v>40</v>
      </c>
      <c r="K313">
        <v>1.7</v>
      </c>
      <c r="L313" t="b">
        <v>0</v>
      </c>
      <c r="M313" s="2">
        <v>74</v>
      </c>
      <c r="O313" s="3" t="s">
        <v>1038</v>
      </c>
      <c r="P313" t="s">
        <v>1042</v>
      </c>
      <c r="Q313" s="3">
        <v>4</v>
      </c>
      <c r="R313">
        <v>4</v>
      </c>
    </row>
    <row r="314" spans="1:18" x14ac:dyDescent="0.25">
      <c r="A314" t="s">
        <v>653</v>
      </c>
      <c r="B314" t="s">
        <v>654</v>
      </c>
      <c r="C314" t="s">
        <v>20</v>
      </c>
      <c r="D314">
        <v>47</v>
      </c>
      <c r="E314" t="s">
        <v>1057</v>
      </c>
      <c r="F314" t="s">
        <v>1058</v>
      </c>
      <c r="G314" t="s">
        <v>1054</v>
      </c>
      <c r="H314">
        <v>13</v>
      </c>
      <c r="I314" s="3">
        <v>20</v>
      </c>
      <c r="J314" s="3">
        <v>20</v>
      </c>
      <c r="K314">
        <v>4.5</v>
      </c>
      <c r="L314" t="b">
        <v>0</v>
      </c>
      <c r="M314" s="4">
        <v>0.91</v>
      </c>
      <c r="O314" s="3" t="s">
        <v>1045</v>
      </c>
      <c r="P314" t="s">
        <v>1029</v>
      </c>
      <c r="Q314" s="3">
        <v>7</v>
      </c>
      <c r="R314">
        <v>6</v>
      </c>
    </row>
    <row r="315" spans="1:18" x14ac:dyDescent="0.25">
      <c r="A315" t="s">
        <v>655</v>
      </c>
      <c r="B315" t="s">
        <v>656</v>
      </c>
      <c r="C315" t="s">
        <v>43</v>
      </c>
      <c r="D315">
        <v>50</v>
      </c>
      <c r="E315" t="s">
        <v>40</v>
      </c>
      <c r="F315" t="s">
        <v>1027</v>
      </c>
      <c r="G315" t="s">
        <v>1031</v>
      </c>
      <c r="H315">
        <v>23</v>
      </c>
      <c r="I315" s="3" t="s">
        <v>26</v>
      </c>
      <c r="J315" s="3">
        <v>40</v>
      </c>
      <c r="K315">
        <v>3.6</v>
      </c>
      <c r="L315" t="b">
        <v>1</v>
      </c>
      <c r="M315" s="4">
        <v>0.71</v>
      </c>
      <c r="O315" s="3" t="s">
        <v>1046</v>
      </c>
      <c r="P315" t="s">
        <v>1025</v>
      </c>
      <c r="Q315" s="3">
        <v>12</v>
      </c>
      <c r="R315">
        <v>9</v>
      </c>
    </row>
    <row r="316" spans="1:18" x14ac:dyDescent="0.25">
      <c r="A316" t="s">
        <v>657</v>
      </c>
      <c r="B316" t="s">
        <v>658</v>
      </c>
      <c r="C316" t="s">
        <v>43</v>
      </c>
      <c r="D316">
        <v>39</v>
      </c>
      <c r="E316" t="s">
        <v>1030</v>
      </c>
      <c r="F316" t="s">
        <v>1030</v>
      </c>
      <c r="G316" t="s">
        <v>1050</v>
      </c>
      <c r="H316">
        <v>10</v>
      </c>
      <c r="I316" s="3" t="s">
        <v>34</v>
      </c>
      <c r="J316" s="3">
        <v>75</v>
      </c>
      <c r="K316">
        <v>3.6</v>
      </c>
      <c r="L316" t="b">
        <v>1</v>
      </c>
      <c r="M316" s="4">
        <v>0.87</v>
      </c>
      <c r="O316" s="3" t="s">
        <v>1038</v>
      </c>
      <c r="P316" t="s">
        <v>1029</v>
      </c>
      <c r="Q316" s="3">
        <v>5</v>
      </c>
      <c r="R316">
        <v>1</v>
      </c>
    </row>
    <row r="317" spans="1:18" x14ac:dyDescent="0.25">
      <c r="A317" t="s">
        <v>659</v>
      </c>
      <c r="B317" t="s">
        <v>660</v>
      </c>
      <c r="C317" t="s">
        <v>20</v>
      </c>
      <c r="D317">
        <v>26</v>
      </c>
      <c r="E317" t="s">
        <v>1047</v>
      </c>
      <c r="F317" t="s">
        <v>1048</v>
      </c>
      <c r="G317" t="s">
        <v>1023</v>
      </c>
      <c r="H317">
        <v>3</v>
      </c>
      <c r="I317" s="3" t="s">
        <v>21</v>
      </c>
      <c r="J317" s="3">
        <v>100</v>
      </c>
      <c r="K317">
        <v>2.8</v>
      </c>
      <c r="L317" t="b">
        <v>1</v>
      </c>
      <c r="M317" s="4">
        <v>0.61</v>
      </c>
      <c r="O317" s="3" t="s">
        <v>1038</v>
      </c>
      <c r="P317" t="s">
        <v>1032</v>
      </c>
      <c r="Q317" s="3">
        <v>1</v>
      </c>
      <c r="R317">
        <v>1</v>
      </c>
    </row>
    <row r="318" spans="1:18" x14ac:dyDescent="0.25">
      <c r="A318" t="s">
        <v>661</v>
      </c>
      <c r="B318" t="s">
        <v>662</v>
      </c>
      <c r="C318" t="s">
        <v>43</v>
      </c>
      <c r="D318">
        <v>41</v>
      </c>
      <c r="E318" t="s">
        <v>1036</v>
      </c>
      <c r="F318" t="s">
        <v>1037</v>
      </c>
      <c r="G318" t="s">
        <v>1054</v>
      </c>
      <c r="H318">
        <v>0</v>
      </c>
      <c r="I318" s="3" t="s">
        <v>177</v>
      </c>
      <c r="J318" s="3">
        <v>100</v>
      </c>
      <c r="K318">
        <v>5</v>
      </c>
      <c r="L318" t="b">
        <v>0</v>
      </c>
      <c r="M318" s="2"/>
      <c r="O318" s="3" t="s">
        <v>1046</v>
      </c>
      <c r="P318" t="s">
        <v>1029</v>
      </c>
      <c r="Q318" s="3">
        <v>1</v>
      </c>
      <c r="R318">
        <v>4</v>
      </c>
    </row>
    <row r="319" spans="1:18" x14ac:dyDescent="0.25">
      <c r="A319" t="s">
        <v>663</v>
      </c>
      <c r="B319" t="s">
        <v>664</v>
      </c>
      <c r="C319" t="s">
        <v>43</v>
      </c>
      <c r="D319">
        <v>32</v>
      </c>
      <c r="E319" t="s">
        <v>1030</v>
      </c>
      <c r="F319" t="s">
        <v>1030</v>
      </c>
      <c r="G319" t="s">
        <v>1031</v>
      </c>
      <c r="H319">
        <v>0</v>
      </c>
      <c r="I319" s="3">
        <v>100</v>
      </c>
      <c r="J319" s="3">
        <v>100</v>
      </c>
      <c r="K319">
        <v>1.4</v>
      </c>
      <c r="L319" t="b">
        <v>1</v>
      </c>
      <c r="M319" s="4">
        <v>0.81</v>
      </c>
      <c r="O319" s="3" t="s">
        <v>1038</v>
      </c>
      <c r="P319" t="s">
        <v>1025</v>
      </c>
      <c r="Q319" s="3">
        <v>2</v>
      </c>
      <c r="R319">
        <v>1</v>
      </c>
    </row>
    <row r="320" spans="1:18" x14ac:dyDescent="0.25">
      <c r="A320" t="s">
        <v>665</v>
      </c>
      <c r="B320" t="s">
        <v>666</v>
      </c>
      <c r="C320" t="s">
        <v>20</v>
      </c>
      <c r="D320">
        <v>55</v>
      </c>
      <c r="E320" t="s">
        <v>1060</v>
      </c>
      <c r="F320" t="s">
        <v>1061</v>
      </c>
      <c r="G320" t="s">
        <v>1041</v>
      </c>
      <c r="H320">
        <v>17</v>
      </c>
      <c r="I320" s="3">
        <v>30</v>
      </c>
      <c r="J320" s="3">
        <v>30</v>
      </c>
      <c r="K320">
        <v>2.4</v>
      </c>
      <c r="L320" t="b">
        <v>0</v>
      </c>
      <c r="M320" s="2"/>
      <c r="O320" s="3" t="s">
        <v>1024</v>
      </c>
      <c r="P320" t="s">
        <v>1029</v>
      </c>
      <c r="Q320" s="3">
        <v>18</v>
      </c>
      <c r="R320">
        <v>13</v>
      </c>
    </row>
    <row r="321" spans="1:18" x14ac:dyDescent="0.25">
      <c r="A321" t="s">
        <v>667</v>
      </c>
      <c r="B321" t="s">
        <v>668</v>
      </c>
      <c r="C321" t="s">
        <v>43</v>
      </c>
      <c r="D321">
        <v>32</v>
      </c>
      <c r="E321" t="s">
        <v>1047</v>
      </c>
      <c r="F321" t="s">
        <v>1048</v>
      </c>
      <c r="G321" t="s">
        <v>1035</v>
      </c>
      <c r="H321">
        <v>9</v>
      </c>
      <c r="I321" s="3" t="s">
        <v>37</v>
      </c>
      <c r="J321" s="3">
        <v>40</v>
      </c>
      <c r="K321">
        <v>4.5999999999999996</v>
      </c>
      <c r="L321" t="b">
        <v>1</v>
      </c>
      <c r="M321" s="4">
        <v>0.84</v>
      </c>
      <c r="O321" s="3" t="s">
        <v>1046</v>
      </c>
      <c r="P321" t="s">
        <v>1032</v>
      </c>
      <c r="Q321" s="3">
        <v>9</v>
      </c>
      <c r="R321">
        <v>2</v>
      </c>
    </row>
    <row r="322" spans="1:18" x14ac:dyDescent="0.25">
      <c r="A322" t="s">
        <v>669</v>
      </c>
      <c r="B322" t="s">
        <v>670</v>
      </c>
      <c r="C322" t="s">
        <v>43</v>
      </c>
      <c r="D322">
        <v>30</v>
      </c>
      <c r="E322" t="s">
        <v>1051</v>
      </c>
      <c r="F322" t="s">
        <v>1059</v>
      </c>
      <c r="G322" t="s">
        <v>1023</v>
      </c>
      <c r="H322">
        <v>4</v>
      </c>
      <c r="I322" s="3" t="s">
        <v>82</v>
      </c>
      <c r="J322" s="3">
        <v>20</v>
      </c>
      <c r="K322">
        <v>3.3</v>
      </c>
      <c r="L322" t="s">
        <v>111</v>
      </c>
      <c r="M322" s="2"/>
      <c r="O322" s="3" t="s">
        <v>1046</v>
      </c>
      <c r="P322" t="s">
        <v>1042</v>
      </c>
      <c r="Q322" s="3">
        <v>4</v>
      </c>
      <c r="R322">
        <v>4</v>
      </c>
    </row>
    <row r="323" spans="1:18" x14ac:dyDescent="0.25">
      <c r="A323" t="s">
        <v>671</v>
      </c>
      <c r="B323" t="s">
        <v>672</v>
      </c>
      <c r="C323" t="s">
        <v>20</v>
      </c>
      <c r="D323">
        <v>37</v>
      </c>
      <c r="E323" t="s">
        <v>1062</v>
      </c>
      <c r="F323" t="s">
        <v>1027</v>
      </c>
      <c r="G323" t="s">
        <v>1050</v>
      </c>
      <c r="H323">
        <v>0</v>
      </c>
      <c r="I323" s="3" t="s">
        <v>26</v>
      </c>
      <c r="J323" s="3">
        <v>40</v>
      </c>
      <c r="K323">
        <v>3.7</v>
      </c>
      <c r="L323" t="b">
        <v>1</v>
      </c>
      <c r="M323" s="2"/>
      <c r="O323" s="3" t="s">
        <v>1046</v>
      </c>
      <c r="P323" t="s">
        <v>1029</v>
      </c>
      <c r="Q323" s="3">
        <v>3</v>
      </c>
      <c r="R323">
        <v>5</v>
      </c>
    </row>
    <row r="324" spans="1:18" x14ac:dyDescent="0.25">
      <c r="A324" t="s">
        <v>673</v>
      </c>
      <c r="B324" t="s">
        <v>674</v>
      </c>
      <c r="C324" t="s">
        <v>43</v>
      </c>
      <c r="D324">
        <v>52</v>
      </c>
      <c r="E324" t="s">
        <v>1057</v>
      </c>
      <c r="F324" t="s">
        <v>1058</v>
      </c>
      <c r="G324" t="s">
        <v>1031</v>
      </c>
      <c r="H324">
        <v>33</v>
      </c>
      <c r="J324" s="3">
        <v>52</v>
      </c>
      <c r="K324">
        <v>0</v>
      </c>
      <c r="L324" t="b">
        <v>1</v>
      </c>
      <c r="M324" s="4">
        <v>0.6</v>
      </c>
      <c r="O324" s="3" t="s">
        <v>1024</v>
      </c>
      <c r="P324" t="s">
        <v>1032</v>
      </c>
      <c r="Q324" s="3">
        <v>13</v>
      </c>
      <c r="R324">
        <v>7</v>
      </c>
    </row>
    <row r="325" spans="1:18" x14ac:dyDescent="0.25">
      <c r="A325" t="s">
        <v>675</v>
      </c>
      <c r="B325" t="s">
        <v>676</v>
      </c>
      <c r="C325" t="s">
        <v>43</v>
      </c>
      <c r="D325">
        <v>48</v>
      </c>
      <c r="E325" t="s">
        <v>1055</v>
      </c>
      <c r="F325" t="s">
        <v>1056</v>
      </c>
      <c r="G325" t="s">
        <v>1050</v>
      </c>
      <c r="H325">
        <v>18</v>
      </c>
      <c r="I325" s="3">
        <v>50</v>
      </c>
      <c r="J325" s="3">
        <v>50</v>
      </c>
      <c r="K325">
        <v>0</v>
      </c>
      <c r="L325" t="b">
        <v>1</v>
      </c>
      <c r="M325" s="4">
        <v>0.64</v>
      </c>
      <c r="O325" s="3" t="s">
        <v>1046</v>
      </c>
      <c r="P325" t="s">
        <v>1032</v>
      </c>
      <c r="Q325" s="3">
        <v>11</v>
      </c>
      <c r="R325">
        <v>16</v>
      </c>
    </row>
    <row r="326" spans="1:18" x14ac:dyDescent="0.25">
      <c r="A326" t="s">
        <v>677</v>
      </c>
      <c r="B326" t="s">
        <v>678</v>
      </c>
      <c r="C326" t="s">
        <v>20</v>
      </c>
      <c r="D326">
        <v>28</v>
      </c>
      <c r="E326" t="s">
        <v>1052</v>
      </c>
      <c r="F326" t="s">
        <v>1053</v>
      </c>
      <c r="G326" t="s">
        <v>1028</v>
      </c>
      <c r="H326">
        <v>9</v>
      </c>
      <c r="I326" s="3">
        <v>40</v>
      </c>
      <c r="J326" s="3">
        <v>40</v>
      </c>
      <c r="K326">
        <v>2.4</v>
      </c>
      <c r="L326" t="b">
        <v>1</v>
      </c>
      <c r="M326" s="4">
        <v>0.64</v>
      </c>
      <c r="O326" s="3" t="s">
        <v>1024</v>
      </c>
      <c r="P326" t="s">
        <v>1025</v>
      </c>
      <c r="Q326" s="3">
        <v>14</v>
      </c>
      <c r="R326">
        <v>12</v>
      </c>
    </row>
    <row r="327" spans="1:18" x14ac:dyDescent="0.25">
      <c r="A327" t="s">
        <v>679</v>
      </c>
      <c r="B327" t="s">
        <v>680</v>
      </c>
      <c r="C327" t="s">
        <v>20</v>
      </c>
      <c r="D327">
        <v>58</v>
      </c>
      <c r="E327" t="s">
        <v>1072</v>
      </c>
      <c r="F327" t="s">
        <v>1048</v>
      </c>
      <c r="G327" t="s">
        <v>1041</v>
      </c>
      <c r="H327">
        <v>40</v>
      </c>
      <c r="I327" s="3">
        <v>75</v>
      </c>
      <c r="J327" s="3">
        <v>75</v>
      </c>
      <c r="K327">
        <v>3.4</v>
      </c>
      <c r="L327" t="b">
        <v>1</v>
      </c>
      <c r="M327" s="4">
        <v>1</v>
      </c>
      <c r="O327" s="3" t="s">
        <v>1046</v>
      </c>
      <c r="P327" t="s">
        <v>1025</v>
      </c>
      <c r="Q327" s="3">
        <v>11</v>
      </c>
      <c r="R327">
        <v>12</v>
      </c>
    </row>
    <row r="328" spans="1:18" x14ac:dyDescent="0.25">
      <c r="A328" t="s">
        <v>681</v>
      </c>
      <c r="B328" t="s">
        <v>682</v>
      </c>
      <c r="C328" t="s">
        <v>43</v>
      </c>
      <c r="D328">
        <v>30</v>
      </c>
      <c r="E328" t="s">
        <v>1047</v>
      </c>
      <c r="F328" t="s">
        <v>1048</v>
      </c>
      <c r="G328" t="s">
        <v>1033</v>
      </c>
      <c r="H328">
        <v>1</v>
      </c>
      <c r="I328" s="3">
        <v>40</v>
      </c>
      <c r="J328" s="3">
        <v>40</v>
      </c>
      <c r="K328">
        <v>1.6</v>
      </c>
      <c r="L328" t="b">
        <v>1</v>
      </c>
      <c r="M328" s="2">
        <v>100</v>
      </c>
      <c r="O328" s="3" t="s">
        <v>1045</v>
      </c>
      <c r="P328" t="s">
        <v>1029</v>
      </c>
      <c r="Q328" s="3">
        <v>4</v>
      </c>
      <c r="R328">
        <v>1</v>
      </c>
    </row>
    <row r="329" spans="1:18" x14ac:dyDescent="0.25">
      <c r="A329" t="s">
        <v>683</v>
      </c>
      <c r="B329" t="s">
        <v>684</v>
      </c>
      <c r="C329" t="s">
        <v>20</v>
      </c>
      <c r="D329">
        <v>47</v>
      </c>
      <c r="E329" t="s">
        <v>1069</v>
      </c>
      <c r="F329" t="s">
        <v>1070</v>
      </c>
      <c r="G329" t="s">
        <v>1028</v>
      </c>
      <c r="H329">
        <v>5</v>
      </c>
      <c r="I329" s="3">
        <v>20</v>
      </c>
      <c r="J329" s="3">
        <v>20</v>
      </c>
      <c r="K329">
        <v>1.9</v>
      </c>
      <c r="L329" t="b">
        <v>0</v>
      </c>
      <c r="M329" s="2"/>
      <c r="O329" s="3" t="s">
        <v>1038</v>
      </c>
      <c r="P329" t="s">
        <v>1042</v>
      </c>
      <c r="Q329" s="3">
        <v>5</v>
      </c>
      <c r="R329">
        <v>1</v>
      </c>
    </row>
    <row r="330" spans="1:18" x14ac:dyDescent="0.25">
      <c r="A330" t="s">
        <v>685</v>
      </c>
      <c r="B330" t="s">
        <v>686</v>
      </c>
      <c r="C330" t="s">
        <v>43</v>
      </c>
      <c r="D330">
        <v>44</v>
      </c>
      <c r="E330" t="s">
        <v>1047</v>
      </c>
      <c r="F330" t="s">
        <v>1048</v>
      </c>
      <c r="G330" t="s">
        <v>30</v>
      </c>
      <c r="H330">
        <v>4</v>
      </c>
      <c r="I330" s="3" t="s">
        <v>44</v>
      </c>
      <c r="J330" s="3">
        <v>50</v>
      </c>
      <c r="K330">
        <v>0</v>
      </c>
      <c r="L330" t="b">
        <v>1</v>
      </c>
      <c r="M330" s="4">
        <v>0.83</v>
      </c>
      <c r="O330" s="3" t="s">
        <v>1045</v>
      </c>
      <c r="P330" t="s">
        <v>1032</v>
      </c>
      <c r="Q330" s="3">
        <v>5</v>
      </c>
      <c r="R330">
        <v>1</v>
      </c>
    </row>
    <row r="331" spans="1:18" x14ac:dyDescent="0.25">
      <c r="A331" t="s">
        <v>687</v>
      </c>
      <c r="B331" t="s">
        <v>688</v>
      </c>
      <c r="C331" t="s">
        <v>43</v>
      </c>
      <c r="D331">
        <v>56</v>
      </c>
      <c r="E331" t="s">
        <v>1021</v>
      </c>
      <c r="F331" t="s">
        <v>1022</v>
      </c>
      <c r="G331" t="s">
        <v>1035</v>
      </c>
      <c r="H331">
        <v>13</v>
      </c>
      <c r="I331" s="3" t="s">
        <v>37</v>
      </c>
      <c r="J331" s="3">
        <v>40</v>
      </c>
      <c r="K331">
        <v>2.4</v>
      </c>
      <c r="L331" t="b">
        <v>1</v>
      </c>
      <c r="M331" s="4">
        <v>0.87</v>
      </c>
      <c r="O331" s="3" t="s">
        <v>1038</v>
      </c>
      <c r="P331" t="s">
        <v>1029</v>
      </c>
      <c r="Q331" s="3">
        <v>9</v>
      </c>
      <c r="R331">
        <v>10</v>
      </c>
    </row>
    <row r="332" spans="1:18" x14ac:dyDescent="0.25">
      <c r="A332" t="s">
        <v>689</v>
      </c>
      <c r="B332" t="s">
        <v>690</v>
      </c>
      <c r="C332" t="s">
        <v>20</v>
      </c>
      <c r="D332">
        <v>53</v>
      </c>
      <c r="E332" t="s">
        <v>40</v>
      </c>
      <c r="F332" t="s">
        <v>1027</v>
      </c>
      <c r="G332" t="s">
        <v>1028</v>
      </c>
      <c r="H332">
        <v>33</v>
      </c>
      <c r="I332" s="3" t="s">
        <v>177</v>
      </c>
      <c r="J332" s="3">
        <v>100</v>
      </c>
      <c r="K332">
        <v>2.4</v>
      </c>
      <c r="L332" t="s">
        <v>111</v>
      </c>
      <c r="M332" s="4">
        <v>0.75</v>
      </c>
      <c r="O332" s="3" t="s">
        <v>1024</v>
      </c>
      <c r="P332" t="s">
        <v>1032</v>
      </c>
      <c r="Q332" s="3">
        <v>12</v>
      </c>
      <c r="R332">
        <v>1</v>
      </c>
    </row>
    <row r="333" spans="1:18" x14ac:dyDescent="0.25">
      <c r="A333" t="s">
        <v>691</v>
      </c>
      <c r="B333" t="s">
        <v>692</v>
      </c>
      <c r="C333" t="s">
        <v>43</v>
      </c>
      <c r="D333">
        <v>59</v>
      </c>
      <c r="E333" t="s">
        <v>47</v>
      </c>
      <c r="F333" t="s">
        <v>1027</v>
      </c>
      <c r="G333" t="s">
        <v>1028</v>
      </c>
      <c r="H333">
        <v>22</v>
      </c>
      <c r="I333" s="3">
        <v>40</v>
      </c>
      <c r="J333" s="3">
        <v>40</v>
      </c>
      <c r="K333">
        <v>1.1000000000000001</v>
      </c>
      <c r="L333" t="b">
        <v>1</v>
      </c>
      <c r="M333" s="4">
        <v>0.61</v>
      </c>
      <c r="O333" s="3" t="s">
        <v>1045</v>
      </c>
      <c r="P333" t="s">
        <v>1032</v>
      </c>
      <c r="Q333" s="3">
        <v>10</v>
      </c>
      <c r="R333">
        <v>19</v>
      </c>
    </row>
    <row r="334" spans="1:18" x14ac:dyDescent="0.25">
      <c r="A334" t="s">
        <v>693</v>
      </c>
      <c r="B334" t="s">
        <v>694</v>
      </c>
      <c r="C334" t="s">
        <v>43</v>
      </c>
      <c r="D334">
        <v>60</v>
      </c>
      <c r="E334" t="s">
        <v>40</v>
      </c>
      <c r="F334" t="s">
        <v>1027</v>
      </c>
      <c r="G334" t="s">
        <v>1054</v>
      </c>
      <c r="H334">
        <v>34</v>
      </c>
      <c r="J334" s="3">
        <v>52</v>
      </c>
      <c r="K334">
        <v>2.4</v>
      </c>
      <c r="L334" t="b">
        <v>0</v>
      </c>
      <c r="M334" s="4">
        <v>0.93</v>
      </c>
      <c r="O334" s="3" t="s">
        <v>1046</v>
      </c>
      <c r="P334" t="s">
        <v>1042</v>
      </c>
      <c r="Q334" s="3">
        <v>20</v>
      </c>
      <c r="R334">
        <v>9</v>
      </c>
    </row>
    <row r="335" spans="1:18" x14ac:dyDescent="0.25">
      <c r="A335" t="s">
        <v>695</v>
      </c>
      <c r="B335" t="s">
        <v>696</v>
      </c>
      <c r="C335" t="s">
        <v>20</v>
      </c>
      <c r="D335">
        <v>33</v>
      </c>
      <c r="E335" t="s">
        <v>1030</v>
      </c>
      <c r="F335" t="s">
        <v>1030</v>
      </c>
      <c r="G335" t="s">
        <v>1028</v>
      </c>
      <c r="H335">
        <v>8</v>
      </c>
      <c r="I335" s="3" t="s">
        <v>73</v>
      </c>
      <c r="J335" s="3">
        <v>30</v>
      </c>
      <c r="K335">
        <v>3.6</v>
      </c>
      <c r="L335" t="b">
        <v>1</v>
      </c>
      <c r="M335" s="2"/>
      <c r="O335" s="3" t="s">
        <v>1038</v>
      </c>
      <c r="P335" t="s">
        <v>1042</v>
      </c>
      <c r="Q335" s="3">
        <v>8</v>
      </c>
      <c r="R335">
        <v>3</v>
      </c>
    </row>
    <row r="336" spans="1:18" x14ac:dyDescent="0.25">
      <c r="A336" t="s">
        <v>697</v>
      </c>
      <c r="B336" t="s">
        <v>698</v>
      </c>
      <c r="C336" t="s">
        <v>20</v>
      </c>
      <c r="D336">
        <v>21</v>
      </c>
      <c r="E336" t="s">
        <v>1047</v>
      </c>
      <c r="F336" t="s">
        <v>1048</v>
      </c>
      <c r="G336" t="s">
        <v>1033</v>
      </c>
      <c r="H336">
        <v>1</v>
      </c>
      <c r="I336" s="3" t="s">
        <v>262</v>
      </c>
      <c r="J336" s="3">
        <v>20</v>
      </c>
      <c r="K336">
        <v>2.4</v>
      </c>
      <c r="L336" t="b">
        <v>0</v>
      </c>
      <c r="M336" s="4">
        <v>0.99</v>
      </c>
      <c r="O336" s="3" t="s">
        <v>1038</v>
      </c>
      <c r="P336" t="s">
        <v>1029</v>
      </c>
      <c r="Q336" s="3">
        <v>4</v>
      </c>
      <c r="R336">
        <v>2</v>
      </c>
    </row>
    <row r="337" spans="1:18" x14ac:dyDescent="0.25">
      <c r="A337" t="s">
        <v>699</v>
      </c>
      <c r="B337" t="s">
        <v>700</v>
      </c>
      <c r="C337" t="s">
        <v>43</v>
      </c>
      <c r="D337">
        <v>54</v>
      </c>
      <c r="E337" t="s">
        <v>47</v>
      </c>
      <c r="F337" t="s">
        <v>1027</v>
      </c>
      <c r="G337" t="s">
        <v>1049</v>
      </c>
      <c r="H337">
        <v>20</v>
      </c>
      <c r="I337" s="3">
        <v>50</v>
      </c>
      <c r="J337" s="3">
        <v>50</v>
      </c>
      <c r="K337">
        <v>4.4000000000000004</v>
      </c>
      <c r="L337" t="b">
        <v>0</v>
      </c>
      <c r="M337" s="2">
        <v>73</v>
      </c>
      <c r="O337" s="3" t="s">
        <v>1045</v>
      </c>
      <c r="P337" t="s">
        <v>1042</v>
      </c>
      <c r="Q337" s="3">
        <v>20</v>
      </c>
      <c r="R337">
        <v>12</v>
      </c>
    </row>
    <row r="338" spans="1:18" x14ac:dyDescent="0.25">
      <c r="A338" t="s">
        <v>701</v>
      </c>
      <c r="B338" t="s">
        <v>702</v>
      </c>
      <c r="C338" t="s">
        <v>20</v>
      </c>
      <c r="D338">
        <v>33</v>
      </c>
      <c r="E338" t="s">
        <v>40</v>
      </c>
      <c r="F338" t="s">
        <v>1027</v>
      </c>
      <c r="G338" t="s">
        <v>1031</v>
      </c>
      <c r="H338">
        <v>11</v>
      </c>
      <c r="I338" s="3">
        <v>75</v>
      </c>
      <c r="J338" s="3">
        <v>75</v>
      </c>
      <c r="K338">
        <v>2.1</v>
      </c>
      <c r="L338" t="b">
        <v>0</v>
      </c>
      <c r="M338" s="4">
        <v>0.96</v>
      </c>
      <c r="O338" s="3" t="s">
        <v>1024</v>
      </c>
      <c r="P338" t="s">
        <v>1042</v>
      </c>
      <c r="Q338" s="3">
        <v>7</v>
      </c>
      <c r="R338">
        <v>5</v>
      </c>
    </row>
    <row r="339" spans="1:18" x14ac:dyDescent="0.25">
      <c r="A339" t="s">
        <v>703</v>
      </c>
      <c r="B339" t="s">
        <v>704</v>
      </c>
      <c r="C339" t="s">
        <v>20</v>
      </c>
      <c r="D339">
        <v>57</v>
      </c>
      <c r="E339" t="s">
        <v>1043</v>
      </c>
      <c r="F339" t="s">
        <v>1044</v>
      </c>
      <c r="G339" t="s">
        <v>1041</v>
      </c>
      <c r="H339">
        <v>2</v>
      </c>
      <c r="I339" s="3">
        <v>40</v>
      </c>
      <c r="J339" s="3">
        <v>40</v>
      </c>
      <c r="K339">
        <v>0</v>
      </c>
      <c r="L339" t="b">
        <v>0</v>
      </c>
      <c r="M339" s="4">
        <v>0.6</v>
      </c>
      <c r="O339" s="3" t="s">
        <v>1045</v>
      </c>
      <c r="P339" t="s">
        <v>1029</v>
      </c>
      <c r="Q339" s="3">
        <v>5</v>
      </c>
      <c r="R339">
        <v>2</v>
      </c>
    </row>
    <row r="340" spans="1:18" x14ac:dyDescent="0.25">
      <c r="A340" t="s">
        <v>705</v>
      </c>
      <c r="B340" t="s">
        <v>706</v>
      </c>
      <c r="C340" t="s">
        <v>43</v>
      </c>
      <c r="D340">
        <v>36</v>
      </c>
      <c r="E340" t="s">
        <v>1051</v>
      </c>
      <c r="F340" t="s">
        <v>1059</v>
      </c>
      <c r="G340" t="s">
        <v>1031</v>
      </c>
      <c r="H340">
        <v>6</v>
      </c>
      <c r="I340" s="3">
        <v>20</v>
      </c>
      <c r="J340" s="3">
        <v>20</v>
      </c>
      <c r="K340">
        <v>1</v>
      </c>
      <c r="L340" t="b">
        <v>1</v>
      </c>
      <c r="M340" s="4">
        <v>0.64</v>
      </c>
      <c r="O340" s="3" t="s">
        <v>1024</v>
      </c>
      <c r="P340" t="s">
        <v>1042</v>
      </c>
      <c r="Q340" s="3">
        <v>15</v>
      </c>
      <c r="R340">
        <v>6</v>
      </c>
    </row>
    <row r="341" spans="1:18" x14ac:dyDescent="0.25">
      <c r="A341" t="s">
        <v>707</v>
      </c>
      <c r="B341" t="s">
        <v>708</v>
      </c>
      <c r="C341" t="s">
        <v>43</v>
      </c>
      <c r="D341">
        <v>50</v>
      </c>
      <c r="E341" t="s">
        <v>1030</v>
      </c>
      <c r="F341" t="s">
        <v>1030</v>
      </c>
      <c r="G341" t="s">
        <v>1023</v>
      </c>
      <c r="H341">
        <v>20</v>
      </c>
      <c r="I341" s="3" t="s">
        <v>73</v>
      </c>
      <c r="J341" s="3">
        <v>30</v>
      </c>
      <c r="K341">
        <v>0</v>
      </c>
      <c r="L341" t="b">
        <v>0</v>
      </c>
      <c r="M341" s="2"/>
      <c r="O341" s="3" t="s">
        <v>1024</v>
      </c>
      <c r="P341" t="s">
        <v>1025</v>
      </c>
      <c r="Q341" s="3">
        <v>18</v>
      </c>
      <c r="R341">
        <v>7</v>
      </c>
    </row>
    <row r="342" spans="1:18" x14ac:dyDescent="0.25">
      <c r="A342" t="s">
        <v>709</v>
      </c>
      <c r="B342" t="s">
        <v>710</v>
      </c>
      <c r="C342" t="s">
        <v>20</v>
      </c>
      <c r="D342">
        <v>37</v>
      </c>
      <c r="E342" t="s">
        <v>1062</v>
      </c>
      <c r="F342" t="s">
        <v>1027</v>
      </c>
      <c r="G342" t="s">
        <v>1054</v>
      </c>
      <c r="H342">
        <v>10</v>
      </c>
      <c r="I342" s="3" t="s">
        <v>262</v>
      </c>
      <c r="J342" s="3">
        <v>20</v>
      </c>
      <c r="K342">
        <v>4.9000000000000004</v>
      </c>
      <c r="L342" t="b">
        <v>0</v>
      </c>
      <c r="M342" s="2"/>
      <c r="O342" s="3" t="s">
        <v>1038</v>
      </c>
      <c r="P342" t="s">
        <v>1032</v>
      </c>
      <c r="Q342" s="3">
        <v>5</v>
      </c>
      <c r="R342">
        <v>3</v>
      </c>
    </row>
    <row r="343" spans="1:18" x14ac:dyDescent="0.25">
      <c r="A343" t="s">
        <v>711</v>
      </c>
      <c r="B343" t="s">
        <v>712</v>
      </c>
      <c r="C343" t="s">
        <v>43</v>
      </c>
      <c r="D343">
        <v>53</v>
      </c>
      <c r="E343" t="s">
        <v>1021</v>
      </c>
      <c r="F343" t="s">
        <v>1022</v>
      </c>
      <c r="G343" t="s">
        <v>30</v>
      </c>
      <c r="H343">
        <v>4</v>
      </c>
      <c r="I343" s="3">
        <v>30</v>
      </c>
      <c r="J343" s="3">
        <v>30</v>
      </c>
      <c r="K343">
        <v>4.7</v>
      </c>
      <c r="L343" t="s">
        <v>111</v>
      </c>
      <c r="M343" s="4">
        <v>0.99</v>
      </c>
      <c r="O343" s="3" t="s">
        <v>1045</v>
      </c>
      <c r="P343" t="s">
        <v>1032</v>
      </c>
      <c r="Q343" s="3">
        <v>2</v>
      </c>
      <c r="R343">
        <v>1</v>
      </c>
    </row>
    <row r="344" spans="1:18" x14ac:dyDescent="0.25">
      <c r="A344" t="s">
        <v>713</v>
      </c>
      <c r="B344" t="s">
        <v>714</v>
      </c>
      <c r="C344" t="s">
        <v>20</v>
      </c>
      <c r="D344">
        <v>22</v>
      </c>
      <c r="E344" t="s">
        <v>1021</v>
      </c>
      <c r="F344" t="s">
        <v>1022</v>
      </c>
      <c r="G344" t="s">
        <v>1023</v>
      </c>
      <c r="H344">
        <v>3</v>
      </c>
      <c r="I344" s="3" t="s">
        <v>37</v>
      </c>
      <c r="J344" s="3">
        <v>40</v>
      </c>
      <c r="K344">
        <v>2.1</v>
      </c>
      <c r="L344" t="b">
        <v>0</v>
      </c>
      <c r="M344" s="2"/>
      <c r="O344" s="3" t="s">
        <v>1045</v>
      </c>
      <c r="P344" t="s">
        <v>1032</v>
      </c>
      <c r="Q344" s="3">
        <v>4</v>
      </c>
      <c r="R344">
        <v>1</v>
      </c>
    </row>
    <row r="345" spans="1:18" x14ac:dyDescent="0.25">
      <c r="A345" t="s">
        <v>715</v>
      </c>
      <c r="B345" t="s">
        <v>716</v>
      </c>
      <c r="C345" t="s">
        <v>20</v>
      </c>
      <c r="D345">
        <v>55</v>
      </c>
      <c r="E345" t="s">
        <v>1036</v>
      </c>
      <c r="F345" t="s">
        <v>1037</v>
      </c>
      <c r="G345" t="s">
        <v>1028</v>
      </c>
      <c r="H345">
        <v>33</v>
      </c>
      <c r="I345" s="3">
        <v>40</v>
      </c>
      <c r="J345" s="3">
        <v>40</v>
      </c>
      <c r="K345">
        <v>1.5</v>
      </c>
      <c r="L345" t="b">
        <v>1</v>
      </c>
      <c r="M345" s="4">
        <v>0.71</v>
      </c>
      <c r="O345" s="3" t="s">
        <v>1024</v>
      </c>
      <c r="P345" t="s">
        <v>1032</v>
      </c>
      <c r="Q345" s="3">
        <v>10</v>
      </c>
      <c r="R345">
        <v>11</v>
      </c>
    </row>
    <row r="346" spans="1:18" x14ac:dyDescent="0.25">
      <c r="A346" t="s">
        <v>717</v>
      </c>
      <c r="B346" t="s">
        <v>718</v>
      </c>
      <c r="C346" t="s">
        <v>43</v>
      </c>
      <c r="D346">
        <v>22</v>
      </c>
      <c r="E346" t="s">
        <v>1026</v>
      </c>
      <c r="F346" t="s">
        <v>1027</v>
      </c>
      <c r="G346" t="s">
        <v>1050</v>
      </c>
      <c r="H346">
        <v>1</v>
      </c>
      <c r="J346" s="3">
        <v>52</v>
      </c>
      <c r="K346">
        <v>2.6</v>
      </c>
      <c r="L346" t="b">
        <v>0</v>
      </c>
      <c r="M346" s="4">
        <v>0.72</v>
      </c>
      <c r="O346" s="3" t="s">
        <v>1045</v>
      </c>
      <c r="P346" t="s">
        <v>1029</v>
      </c>
      <c r="Q346" s="3">
        <v>5</v>
      </c>
      <c r="R346">
        <v>1</v>
      </c>
    </row>
    <row r="347" spans="1:18" x14ac:dyDescent="0.25">
      <c r="A347" t="s">
        <v>719</v>
      </c>
      <c r="B347" t="s">
        <v>720</v>
      </c>
      <c r="C347" t="s">
        <v>20</v>
      </c>
      <c r="D347">
        <v>45</v>
      </c>
      <c r="E347" t="s">
        <v>1043</v>
      </c>
      <c r="F347" t="s">
        <v>1044</v>
      </c>
      <c r="G347" t="s">
        <v>1033</v>
      </c>
      <c r="H347">
        <v>23</v>
      </c>
      <c r="I347" s="3" t="s">
        <v>64</v>
      </c>
      <c r="J347" s="3">
        <v>50</v>
      </c>
      <c r="K347">
        <v>0</v>
      </c>
      <c r="L347" t="b">
        <v>0</v>
      </c>
      <c r="M347" s="4">
        <v>0.66</v>
      </c>
      <c r="O347" s="3" t="s">
        <v>1046</v>
      </c>
      <c r="P347" t="s">
        <v>1032</v>
      </c>
      <c r="Q347" s="3">
        <v>10</v>
      </c>
      <c r="R347">
        <v>6</v>
      </c>
    </row>
    <row r="348" spans="1:18" x14ac:dyDescent="0.25">
      <c r="A348" t="s">
        <v>721</v>
      </c>
      <c r="B348" t="s">
        <v>722</v>
      </c>
      <c r="C348" t="s">
        <v>43</v>
      </c>
      <c r="D348">
        <v>36</v>
      </c>
      <c r="E348" t="s">
        <v>1063</v>
      </c>
      <c r="F348" t="s">
        <v>1064</v>
      </c>
      <c r="G348" t="s">
        <v>1041</v>
      </c>
      <c r="H348">
        <v>13</v>
      </c>
      <c r="I348" s="3">
        <v>40</v>
      </c>
      <c r="J348" s="3">
        <v>40</v>
      </c>
      <c r="K348">
        <v>2.4</v>
      </c>
      <c r="L348" t="b">
        <v>0</v>
      </c>
      <c r="M348" s="4">
        <v>0.78</v>
      </c>
      <c r="O348" s="3" t="s">
        <v>1046</v>
      </c>
      <c r="P348" t="s">
        <v>1032</v>
      </c>
      <c r="Q348" s="3">
        <v>15</v>
      </c>
      <c r="R348">
        <v>10</v>
      </c>
    </row>
    <row r="349" spans="1:18" x14ac:dyDescent="0.25">
      <c r="A349" t="s">
        <v>723</v>
      </c>
      <c r="B349" t="s">
        <v>724</v>
      </c>
      <c r="C349" t="s">
        <v>43</v>
      </c>
      <c r="D349">
        <v>23</v>
      </c>
      <c r="E349" t="s">
        <v>1026</v>
      </c>
      <c r="F349" t="s">
        <v>1027</v>
      </c>
      <c r="G349" t="s">
        <v>1054</v>
      </c>
      <c r="H349">
        <v>1</v>
      </c>
      <c r="I349" s="3" t="s">
        <v>262</v>
      </c>
      <c r="J349" s="3">
        <v>20</v>
      </c>
      <c r="K349">
        <v>4</v>
      </c>
      <c r="L349" t="b">
        <v>1</v>
      </c>
      <c r="M349" s="2">
        <v>100</v>
      </c>
      <c r="O349" s="3" t="s">
        <v>1045</v>
      </c>
      <c r="P349" t="s">
        <v>1032</v>
      </c>
      <c r="Q349" s="3">
        <v>1</v>
      </c>
      <c r="R349">
        <v>3</v>
      </c>
    </row>
    <row r="350" spans="1:18" x14ac:dyDescent="0.25">
      <c r="A350" t="s">
        <v>725</v>
      </c>
      <c r="B350" t="s">
        <v>726</v>
      </c>
      <c r="C350" t="s">
        <v>43</v>
      </c>
      <c r="D350">
        <v>55</v>
      </c>
      <c r="E350" t="s">
        <v>1021</v>
      </c>
      <c r="F350" t="s">
        <v>1022</v>
      </c>
      <c r="G350" t="s">
        <v>1054</v>
      </c>
      <c r="H350">
        <v>15</v>
      </c>
      <c r="I350" s="3">
        <v>40</v>
      </c>
      <c r="J350" s="3">
        <v>40</v>
      </c>
      <c r="K350">
        <v>4.5</v>
      </c>
      <c r="L350" t="b">
        <v>0</v>
      </c>
      <c r="M350" s="2"/>
      <c r="O350" s="3" t="s">
        <v>1045</v>
      </c>
      <c r="P350" t="s">
        <v>1032</v>
      </c>
      <c r="Q350" s="3">
        <v>9</v>
      </c>
      <c r="R350">
        <v>10</v>
      </c>
    </row>
    <row r="351" spans="1:18" x14ac:dyDescent="0.25">
      <c r="A351" t="s">
        <v>727</v>
      </c>
      <c r="B351" t="s">
        <v>728</v>
      </c>
      <c r="C351" t="s">
        <v>20</v>
      </c>
      <c r="D351">
        <v>50</v>
      </c>
      <c r="E351" t="s">
        <v>1057</v>
      </c>
      <c r="F351" t="s">
        <v>1058</v>
      </c>
      <c r="G351" t="s">
        <v>1028</v>
      </c>
      <c r="H351">
        <v>18</v>
      </c>
      <c r="I351" s="3">
        <v>75</v>
      </c>
      <c r="J351" s="3">
        <v>75</v>
      </c>
      <c r="K351">
        <v>3.8</v>
      </c>
      <c r="L351" t="b">
        <v>0</v>
      </c>
      <c r="M351" s="2">
        <v>67</v>
      </c>
      <c r="O351" s="3" t="s">
        <v>1024</v>
      </c>
      <c r="P351" t="s">
        <v>1025</v>
      </c>
      <c r="Q351" s="3">
        <v>14</v>
      </c>
      <c r="R351">
        <v>6</v>
      </c>
    </row>
    <row r="352" spans="1:18" x14ac:dyDescent="0.25">
      <c r="A352" t="s">
        <v>729</v>
      </c>
      <c r="B352" t="s">
        <v>730</v>
      </c>
      <c r="C352" t="s">
        <v>43</v>
      </c>
      <c r="D352">
        <v>48</v>
      </c>
      <c r="E352" t="s">
        <v>40</v>
      </c>
      <c r="F352" t="s">
        <v>1027</v>
      </c>
      <c r="G352" t="s">
        <v>1035</v>
      </c>
      <c r="H352">
        <v>21</v>
      </c>
      <c r="I352" s="3">
        <v>50</v>
      </c>
      <c r="J352" s="3">
        <v>50</v>
      </c>
      <c r="K352">
        <v>4</v>
      </c>
      <c r="L352" t="b">
        <v>0</v>
      </c>
      <c r="M352" s="4">
        <v>0.78</v>
      </c>
      <c r="O352" s="3" t="s">
        <v>1046</v>
      </c>
      <c r="P352" t="s">
        <v>1032</v>
      </c>
      <c r="Q352" s="3">
        <v>20</v>
      </c>
      <c r="R352">
        <v>7</v>
      </c>
    </row>
    <row r="353" spans="1:18" x14ac:dyDescent="0.25">
      <c r="A353" t="s">
        <v>731</v>
      </c>
      <c r="B353" t="s">
        <v>732</v>
      </c>
      <c r="C353" t="s">
        <v>43</v>
      </c>
      <c r="D353">
        <v>23</v>
      </c>
      <c r="E353" t="s">
        <v>1036</v>
      </c>
      <c r="F353" t="s">
        <v>1037</v>
      </c>
      <c r="G353" t="s">
        <v>1054</v>
      </c>
      <c r="H353">
        <v>1</v>
      </c>
      <c r="I353" s="3" t="s">
        <v>26</v>
      </c>
      <c r="J353" s="3">
        <v>40</v>
      </c>
      <c r="K353">
        <v>4.9000000000000004</v>
      </c>
      <c r="L353" t="b">
        <v>1</v>
      </c>
      <c r="M353" s="4">
        <v>0.78</v>
      </c>
      <c r="O353" s="3" t="s">
        <v>1046</v>
      </c>
      <c r="P353" t="s">
        <v>1025</v>
      </c>
      <c r="Q353" s="3">
        <v>3</v>
      </c>
      <c r="R353">
        <v>3</v>
      </c>
    </row>
    <row r="354" spans="1:18" x14ac:dyDescent="0.25">
      <c r="A354" t="s">
        <v>733</v>
      </c>
      <c r="B354" t="s">
        <v>734</v>
      </c>
      <c r="C354" t="s">
        <v>20</v>
      </c>
      <c r="D354">
        <v>49</v>
      </c>
      <c r="E354" t="s">
        <v>1062</v>
      </c>
      <c r="F354" t="s">
        <v>1027</v>
      </c>
      <c r="G354" t="s">
        <v>1033</v>
      </c>
      <c r="H354">
        <v>25</v>
      </c>
      <c r="I354" s="3" t="s">
        <v>31</v>
      </c>
      <c r="J354" s="3">
        <v>30</v>
      </c>
      <c r="K354">
        <v>3.4</v>
      </c>
      <c r="L354" t="b">
        <v>0</v>
      </c>
      <c r="M354" s="4">
        <v>0.75</v>
      </c>
      <c r="O354" s="3" t="s">
        <v>1038</v>
      </c>
      <c r="P354" t="s">
        <v>1029</v>
      </c>
      <c r="Q354" s="3">
        <v>15</v>
      </c>
      <c r="R354">
        <v>10</v>
      </c>
    </row>
    <row r="355" spans="1:18" x14ac:dyDescent="0.25">
      <c r="A355" t="s">
        <v>735</v>
      </c>
      <c r="B355" t="s">
        <v>736</v>
      </c>
      <c r="C355" t="s">
        <v>20</v>
      </c>
      <c r="D355">
        <v>47</v>
      </c>
      <c r="E355" t="s">
        <v>1021</v>
      </c>
      <c r="F355" t="s">
        <v>1022</v>
      </c>
      <c r="G355" t="s">
        <v>1050</v>
      </c>
      <c r="H355">
        <v>12</v>
      </c>
      <c r="I355" s="3">
        <v>50</v>
      </c>
      <c r="J355" s="3">
        <v>50</v>
      </c>
      <c r="K355">
        <v>2.1</v>
      </c>
      <c r="L355" t="b">
        <v>1</v>
      </c>
      <c r="M355" s="4">
        <v>0.67</v>
      </c>
      <c r="O355" s="3" t="s">
        <v>1024</v>
      </c>
      <c r="P355" t="s">
        <v>1042</v>
      </c>
      <c r="Q355" s="3">
        <v>14</v>
      </c>
      <c r="R355">
        <v>10</v>
      </c>
    </row>
    <row r="356" spans="1:18" x14ac:dyDescent="0.25">
      <c r="A356" t="s">
        <v>737</v>
      </c>
      <c r="B356" t="s">
        <v>738</v>
      </c>
      <c r="C356" t="s">
        <v>20</v>
      </c>
      <c r="D356">
        <v>56</v>
      </c>
      <c r="E356" t="s">
        <v>1052</v>
      </c>
      <c r="F356" t="s">
        <v>1053</v>
      </c>
      <c r="G356" t="s">
        <v>1031</v>
      </c>
      <c r="H356">
        <v>32</v>
      </c>
      <c r="I356" s="3" t="s">
        <v>37</v>
      </c>
      <c r="J356" s="3">
        <v>40</v>
      </c>
      <c r="K356">
        <v>0</v>
      </c>
      <c r="L356" t="b">
        <v>1</v>
      </c>
      <c r="M356" s="4">
        <v>0.86</v>
      </c>
      <c r="O356" s="3" t="s">
        <v>1038</v>
      </c>
      <c r="P356" t="s">
        <v>1032</v>
      </c>
      <c r="Q356" s="3">
        <v>15</v>
      </c>
      <c r="R356">
        <v>5</v>
      </c>
    </row>
    <row r="357" spans="1:18" x14ac:dyDescent="0.25">
      <c r="A357" t="s">
        <v>739</v>
      </c>
      <c r="B357" t="s">
        <v>740</v>
      </c>
      <c r="C357" t="s">
        <v>43</v>
      </c>
      <c r="D357">
        <v>58</v>
      </c>
      <c r="E357" t="s">
        <v>1047</v>
      </c>
      <c r="F357" t="s">
        <v>1048</v>
      </c>
      <c r="G357" t="s">
        <v>1049</v>
      </c>
      <c r="H357">
        <v>10</v>
      </c>
      <c r="I357" s="3">
        <v>100</v>
      </c>
      <c r="J357" s="3">
        <v>100</v>
      </c>
      <c r="K357">
        <v>4.5</v>
      </c>
      <c r="L357" t="s">
        <v>111</v>
      </c>
      <c r="M357" s="2">
        <v>77</v>
      </c>
      <c r="O357" s="3" t="s">
        <v>1046</v>
      </c>
      <c r="P357" t="s">
        <v>1042</v>
      </c>
      <c r="Q357" s="3">
        <v>3</v>
      </c>
      <c r="R357">
        <v>1</v>
      </c>
    </row>
    <row r="358" spans="1:18" x14ac:dyDescent="0.25">
      <c r="A358" t="s">
        <v>741</v>
      </c>
      <c r="B358" t="s">
        <v>742</v>
      </c>
      <c r="C358" t="s">
        <v>43</v>
      </c>
      <c r="D358">
        <v>32</v>
      </c>
      <c r="E358" t="s">
        <v>1051</v>
      </c>
      <c r="F358" t="s">
        <v>1059</v>
      </c>
      <c r="G358" t="s">
        <v>1049</v>
      </c>
      <c r="H358">
        <v>10</v>
      </c>
      <c r="I358" s="3" t="s">
        <v>31</v>
      </c>
      <c r="J358" s="3">
        <v>30</v>
      </c>
      <c r="K358">
        <v>3.8</v>
      </c>
      <c r="L358" t="b">
        <v>0</v>
      </c>
      <c r="M358" s="4">
        <v>0.61</v>
      </c>
      <c r="O358" s="3" t="s">
        <v>1024</v>
      </c>
      <c r="P358" t="s">
        <v>1042</v>
      </c>
      <c r="Q358" s="3">
        <v>11</v>
      </c>
      <c r="R358">
        <v>5</v>
      </c>
    </row>
    <row r="359" spans="1:18" x14ac:dyDescent="0.25">
      <c r="A359" t="s">
        <v>743</v>
      </c>
      <c r="B359" t="s">
        <v>744</v>
      </c>
      <c r="C359" t="s">
        <v>20</v>
      </c>
      <c r="D359">
        <v>52</v>
      </c>
      <c r="E359" t="s">
        <v>1055</v>
      </c>
      <c r="F359" t="s">
        <v>1056</v>
      </c>
      <c r="G359" t="s">
        <v>1049</v>
      </c>
      <c r="H359">
        <v>0</v>
      </c>
      <c r="J359" s="3">
        <v>52</v>
      </c>
      <c r="K359">
        <v>4.3</v>
      </c>
      <c r="L359" t="b">
        <v>0</v>
      </c>
      <c r="M359" s="4">
        <v>0.9</v>
      </c>
      <c r="O359" s="3" t="s">
        <v>1045</v>
      </c>
      <c r="P359" t="s">
        <v>1029</v>
      </c>
      <c r="Q359" s="3">
        <v>1</v>
      </c>
      <c r="R359">
        <v>1</v>
      </c>
    </row>
    <row r="360" spans="1:18" x14ac:dyDescent="0.25">
      <c r="A360" t="s">
        <v>745</v>
      </c>
      <c r="B360" t="s">
        <v>746</v>
      </c>
      <c r="C360" t="s">
        <v>20</v>
      </c>
      <c r="D360">
        <v>22</v>
      </c>
      <c r="E360" t="s">
        <v>1069</v>
      </c>
      <c r="F360" t="s">
        <v>1070</v>
      </c>
      <c r="G360" t="s">
        <v>1041</v>
      </c>
      <c r="H360">
        <v>1</v>
      </c>
      <c r="I360" s="3">
        <v>50</v>
      </c>
      <c r="J360" s="3">
        <v>50</v>
      </c>
      <c r="K360">
        <v>0</v>
      </c>
      <c r="L360" t="b">
        <v>0</v>
      </c>
      <c r="M360" s="4">
        <v>0.98</v>
      </c>
      <c r="O360" s="3" t="s">
        <v>1024</v>
      </c>
      <c r="P360" t="s">
        <v>1042</v>
      </c>
      <c r="Q360" s="3">
        <v>4</v>
      </c>
      <c r="R360">
        <v>5</v>
      </c>
    </row>
    <row r="361" spans="1:18" x14ac:dyDescent="0.25">
      <c r="A361" t="s">
        <v>747</v>
      </c>
      <c r="B361" t="s">
        <v>748</v>
      </c>
      <c r="C361" t="s">
        <v>43</v>
      </c>
      <c r="D361">
        <v>20</v>
      </c>
      <c r="E361" t="s">
        <v>1055</v>
      </c>
      <c r="F361" t="s">
        <v>1056</v>
      </c>
      <c r="G361" t="s">
        <v>1050</v>
      </c>
      <c r="H361">
        <v>2</v>
      </c>
      <c r="I361" s="3">
        <v>30</v>
      </c>
      <c r="J361" s="3">
        <v>30</v>
      </c>
      <c r="K361">
        <v>2.4</v>
      </c>
      <c r="L361" t="b">
        <v>1</v>
      </c>
      <c r="M361" s="4">
        <v>0.99</v>
      </c>
      <c r="O361" s="3" t="s">
        <v>1045</v>
      </c>
      <c r="P361" t="s">
        <v>1025</v>
      </c>
      <c r="Q361" s="3">
        <v>3</v>
      </c>
      <c r="R361">
        <v>2</v>
      </c>
    </row>
    <row r="362" spans="1:18" x14ac:dyDescent="0.25">
      <c r="A362" t="s">
        <v>749</v>
      </c>
      <c r="B362" t="s">
        <v>750</v>
      </c>
      <c r="C362" t="s">
        <v>43</v>
      </c>
      <c r="D362">
        <v>56</v>
      </c>
      <c r="E362" t="s">
        <v>1036</v>
      </c>
      <c r="F362" t="s">
        <v>1037</v>
      </c>
      <c r="G362" t="s">
        <v>1041</v>
      </c>
      <c r="H362">
        <v>9</v>
      </c>
      <c r="I362" s="3" t="s">
        <v>37</v>
      </c>
      <c r="J362" s="3">
        <v>40</v>
      </c>
      <c r="K362">
        <v>2.6</v>
      </c>
      <c r="L362" t="b">
        <v>0</v>
      </c>
      <c r="M362" s="4">
        <v>0.61</v>
      </c>
      <c r="O362" s="3" t="s">
        <v>1045</v>
      </c>
      <c r="P362" t="s">
        <v>1042</v>
      </c>
      <c r="Q362" s="3">
        <v>10</v>
      </c>
      <c r="R362">
        <v>5</v>
      </c>
    </row>
    <row r="363" spans="1:18" x14ac:dyDescent="0.25">
      <c r="A363" t="s">
        <v>751</v>
      </c>
      <c r="B363" t="s">
        <v>752</v>
      </c>
      <c r="C363" t="s">
        <v>43</v>
      </c>
      <c r="D363">
        <v>41</v>
      </c>
      <c r="E363" t="s">
        <v>1052</v>
      </c>
      <c r="F363" t="s">
        <v>1053</v>
      </c>
      <c r="G363" t="s">
        <v>1041</v>
      </c>
      <c r="H363">
        <v>22</v>
      </c>
      <c r="I363" s="3" t="s">
        <v>64</v>
      </c>
      <c r="J363" s="3">
        <v>50</v>
      </c>
      <c r="K363">
        <v>1.6</v>
      </c>
      <c r="L363" t="b">
        <v>1</v>
      </c>
      <c r="M363" s="4">
        <v>0.61</v>
      </c>
      <c r="O363" s="3" t="s">
        <v>1024</v>
      </c>
      <c r="P363" t="s">
        <v>1042</v>
      </c>
      <c r="Q363" s="3">
        <v>10</v>
      </c>
      <c r="R363">
        <v>10</v>
      </c>
    </row>
    <row r="364" spans="1:18" x14ac:dyDescent="0.25">
      <c r="A364" t="s">
        <v>753</v>
      </c>
      <c r="B364" t="s">
        <v>754</v>
      </c>
      <c r="C364" t="s">
        <v>43</v>
      </c>
      <c r="D364">
        <v>25</v>
      </c>
      <c r="E364" t="s">
        <v>1047</v>
      </c>
      <c r="F364" t="s">
        <v>1048</v>
      </c>
      <c r="G364" t="s">
        <v>1023</v>
      </c>
      <c r="H364">
        <v>5</v>
      </c>
      <c r="I364" s="3" t="s">
        <v>31</v>
      </c>
      <c r="J364" s="3">
        <v>30</v>
      </c>
      <c r="K364">
        <v>2.2999999999999998</v>
      </c>
      <c r="L364" t="b">
        <v>0</v>
      </c>
      <c r="M364" s="4">
        <v>0.91</v>
      </c>
      <c r="O364" s="3" t="s">
        <v>1045</v>
      </c>
      <c r="P364" t="s">
        <v>1042</v>
      </c>
      <c r="Q364" s="3">
        <v>2</v>
      </c>
      <c r="R364">
        <v>1</v>
      </c>
    </row>
    <row r="365" spans="1:18" x14ac:dyDescent="0.25">
      <c r="A365" t="s">
        <v>755</v>
      </c>
      <c r="B365" t="s">
        <v>756</v>
      </c>
      <c r="C365" t="s">
        <v>20</v>
      </c>
      <c r="D365">
        <v>44</v>
      </c>
      <c r="E365" t="s">
        <v>1062</v>
      </c>
      <c r="F365" t="s">
        <v>1027</v>
      </c>
      <c r="G365" t="s">
        <v>1050</v>
      </c>
      <c r="H365">
        <v>6</v>
      </c>
      <c r="I365" s="3">
        <v>75</v>
      </c>
      <c r="J365" s="3">
        <v>75</v>
      </c>
      <c r="K365">
        <v>4.5999999999999996</v>
      </c>
      <c r="L365" t="b">
        <v>1</v>
      </c>
      <c r="M365" s="2">
        <v>72</v>
      </c>
      <c r="O365" s="3" t="s">
        <v>1038</v>
      </c>
      <c r="P365" t="s">
        <v>1032</v>
      </c>
      <c r="Q365" s="3">
        <v>13</v>
      </c>
      <c r="R365">
        <v>1</v>
      </c>
    </row>
    <row r="366" spans="1:18" x14ac:dyDescent="0.25">
      <c r="A366" t="s">
        <v>757</v>
      </c>
      <c r="B366" t="s">
        <v>758</v>
      </c>
      <c r="C366" t="s">
        <v>20</v>
      </c>
      <c r="D366">
        <v>46</v>
      </c>
      <c r="E366" t="s">
        <v>1026</v>
      </c>
      <c r="F366" t="s">
        <v>1027</v>
      </c>
      <c r="G366" t="s">
        <v>1033</v>
      </c>
      <c r="H366">
        <v>26</v>
      </c>
      <c r="I366" s="3" t="s">
        <v>177</v>
      </c>
      <c r="J366" s="3">
        <v>100</v>
      </c>
      <c r="K366">
        <v>2.1</v>
      </c>
      <c r="L366" t="b">
        <v>0</v>
      </c>
      <c r="M366" s="2"/>
      <c r="O366" s="3" t="s">
        <v>1046</v>
      </c>
      <c r="P366" t="s">
        <v>1032</v>
      </c>
      <c r="Q366" s="3">
        <v>15</v>
      </c>
      <c r="R366">
        <v>2</v>
      </c>
    </row>
    <row r="367" spans="1:18" x14ac:dyDescent="0.25">
      <c r="A367" t="s">
        <v>759</v>
      </c>
      <c r="B367" t="s">
        <v>760</v>
      </c>
      <c r="C367" t="s">
        <v>20</v>
      </c>
      <c r="D367">
        <v>40</v>
      </c>
      <c r="E367" t="s">
        <v>1051</v>
      </c>
      <c r="F367" t="s">
        <v>1059</v>
      </c>
      <c r="G367" t="s">
        <v>1023</v>
      </c>
      <c r="H367">
        <v>10</v>
      </c>
      <c r="I367" s="3">
        <v>40</v>
      </c>
      <c r="J367" s="3">
        <v>40</v>
      </c>
      <c r="K367">
        <v>1.5</v>
      </c>
      <c r="L367" t="b">
        <v>0</v>
      </c>
      <c r="M367" s="4">
        <v>0.96</v>
      </c>
      <c r="O367" s="3" t="s">
        <v>1045</v>
      </c>
      <c r="P367" t="s">
        <v>1025</v>
      </c>
      <c r="Q367" s="3">
        <v>4</v>
      </c>
      <c r="R367">
        <v>3</v>
      </c>
    </row>
    <row r="368" spans="1:18" x14ac:dyDescent="0.25">
      <c r="A368" t="s">
        <v>761</v>
      </c>
      <c r="B368" t="s">
        <v>762</v>
      </c>
      <c r="C368" t="s">
        <v>43</v>
      </c>
      <c r="D368">
        <v>41</v>
      </c>
      <c r="E368" t="s">
        <v>1069</v>
      </c>
      <c r="F368" t="s">
        <v>1070</v>
      </c>
      <c r="G368" t="s">
        <v>30</v>
      </c>
      <c r="H368">
        <v>9</v>
      </c>
      <c r="I368" s="3" t="s">
        <v>37</v>
      </c>
      <c r="J368" s="3">
        <v>40</v>
      </c>
      <c r="K368">
        <v>1.7</v>
      </c>
      <c r="L368" t="b">
        <v>1</v>
      </c>
      <c r="M368" s="2">
        <v>72</v>
      </c>
      <c r="O368" s="3" t="s">
        <v>1038</v>
      </c>
      <c r="P368" t="s">
        <v>1025</v>
      </c>
      <c r="Q368" s="3">
        <v>9</v>
      </c>
      <c r="R368">
        <v>12</v>
      </c>
    </row>
    <row r="369" spans="1:18" x14ac:dyDescent="0.25">
      <c r="A369" t="s">
        <v>763</v>
      </c>
      <c r="B369" t="s">
        <v>764</v>
      </c>
      <c r="C369" t="s">
        <v>43</v>
      </c>
      <c r="D369">
        <v>31</v>
      </c>
      <c r="E369" t="s">
        <v>1052</v>
      </c>
      <c r="F369" t="s">
        <v>1053</v>
      </c>
      <c r="G369" t="s">
        <v>1041</v>
      </c>
      <c r="H369">
        <v>11</v>
      </c>
      <c r="J369" s="3">
        <v>52</v>
      </c>
      <c r="K369">
        <v>3.3</v>
      </c>
      <c r="L369" t="b">
        <v>0</v>
      </c>
      <c r="M369" s="2"/>
      <c r="O369" s="3" t="s">
        <v>1045</v>
      </c>
      <c r="P369" t="s">
        <v>1032</v>
      </c>
      <c r="Q369" s="3">
        <v>15</v>
      </c>
      <c r="R369">
        <v>10</v>
      </c>
    </row>
    <row r="370" spans="1:18" x14ac:dyDescent="0.25">
      <c r="A370" t="s">
        <v>765</v>
      </c>
      <c r="B370" t="s">
        <v>766</v>
      </c>
      <c r="C370" t="s">
        <v>43</v>
      </c>
      <c r="D370">
        <v>33</v>
      </c>
      <c r="E370" t="s">
        <v>1051</v>
      </c>
      <c r="F370" t="s">
        <v>1059</v>
      </c>
      <c r="G370" t="s">
        <v>1035</v>
      </c>
      <c r="H370">
        <v>10</v>
      </c>
      <c r="I370" s="3" t="s">
        <v>26</v>
      </c>
      <c r="J370" s="3">
        <v>40</v>
      </c>
      <c r="K370">
        <v>4.3</v>
      </c>
      <c r="L370" t="b">
        <v>1</v>
      </c>
      <c r="M370" s="4">
        <v>0.63</v>
      </c>
      <c r="O370" s="3" t="s">
        <v>1046</v>
      </c>
      <c r="P370" t="s">
        <v>1025</v>
      </c>
      <c r="Q370" s="3">
        <v>2</v>
      </c>
      <c r="R370">
        <v>4</v>
      </c>
    </row>
    <row r="371" spans="1:18" x14ac:dyDescent="0.25">
      <c r="A371" t="s">
        <v>767</v>
      </c>
      <c r="B371" t="s">
        <v>768</v>
      </c>
      <c r="C371" t="s">
        <v>20</v>
      </c>
      <c r="D371">
        <v>31</v>
      </c>
      <c r="E371" t="s">
        <v>1057</v>
      </c>
      <c r="F371" t="s">
        <v>1058</v>
      </c>
      <c r="G371" t="s">
        <v>1035</v>
      </c>
      <c r="H371">
        <v>3</v>
      </c>
      <c r="I371" s="3" t="s">
        <v>82</v>
      </c>
      <c r="J371" s="3">
        <v>20</v>
      </c>
      <c r="K371">
        <v>2.4</v>
      </c>
      <c r="L371" t="b">
        <v>0</v>
      </c>
      <c r="M371" s="2"/>
      <c r="O371" s="3" t="s">
        <v>1038</v>
      </c>
      <c r="P371" t="s">
        <v>1032</v>
      </c>
      <c r="Q371" s="3">
        <v>1</v>
      </c>
      <c r="R371">
        <v>2</v>
      </c>
    </row>
    <row r="372" spans="1:18" x14ac:dyDescent="0.25">
      <c r="A372" t="s">
        <v>769</v>
      </c>
      <c r="B372" t="s">
        <v>770</v>
      </c>
      <c r="C372" t="s">
        <v>20</v>
      </c>
      <c r="D372">
        <v>49</v>
      </c>
      <c r="E372" t="s">
        <v>1021</v>
      </c>
      <c r="F372" t="s">
        <v>1022</v>
      </c>
      <c r="G372" t="s">
        <v>1041</v>
      </c>
      <c r="H372">
        <v>15</v>
      </c>
      <c r="I372" s="3" t="s">
        <v>34</v>
      </c>
      <c r="J372" s="3">
        <v>75</v>
      </c>
      <c r="K372">
        <v>2.6</v>
      </c>
      <c r="L372" t="b">
        <v>0</v>
      </c>
      <c r="M372" s="4">
        <v>0.83</v>
      </c>
      <c r="O372" s="3" t="s">
        <v>1046</v>
      </c>
      <c r="P372" t="s">
        <v>1029</v>
      </c>
      <c r="Q372" s="3">
        <v>13</v>
      </c>
      <c r="R372">
        <v>9</v>
      </c>
    </row>
    <row r="373" spans="1:18" x14ac:dyDescent="0.25">
      <c r="A373" t="s">
        <v>771</v>
      </c>
      <c r="B373" t="s">
        <v>772</v>
      </c>
      <c r="C373" t="s">
        <v>43</v>
      </c>
      <c r="D373">
        <v>35</v>
      </c>
      <c r="E373" t="s">
        <v>1071</v>
      </c>
      <c r="F373" t="s">
        <v>1048</v>
      </c>
      <c r="G373" t="s">
        <v>1031</v>
      </c>
      <c r="H373">
        <v>12</v>
      </c>
      <c r="I373" s="3" t="s">
        <v>262</v>
      </c>
      <c r="J373" s="3">
        <v>20</v>
      </c>
      <c r="K373">
        <v>4.0999999999999996</v>
      </c>
      <c r="L373" t="b">
        <v>0</v>
      </c>
      <c r="M373" s="4">
        <v>0.94</v>
      </c>
      <c r="O373" s="3" t="s">
        <v>1046</v>
      </c>
      <c r="P373" t="s">
        <v>1042</v>
      </c>
      <c r="Q373" s="3">
        <v>8</v>
      </c>
      <c r="R373">
        <v>5</v>
      </c>
    </row>
    <row r="374" spans="1:18" x14ac:dyDescent="0.25">
      <c r="A374" t="s">
        <v>773</v>
      </c>
      <c r="B374" t="s">
        <v>774</v>
      </c>
      <c r="C374" t="s">
        <v>43</v>
      </c>
      <c r="D374">
        <v>45</v>
      </c>
      <c r="E374" t="s">
        <v>1055</v>
      </c>
      <c r="F374" t="s">
        <v>1056</v>
      </c>
      <c r="G374" t="s">
        <v>1041</v>
      </c>
      <c r="H374">
        <v>19</v>
      </c>
      <c r="I374" s="3" t="s">
        <v>26</v>
      </c>
      <c r="J374" s="3">
        <v>40</v>
      </c>
      <c r="K374">
        <v>2.2000000000000002</v>
      </c>
      <c r="L374" t="b">
        <v>1</v>
      </c>
      <c r="M374" s="4">
        <v>0.78</v>
      </c>
      <c r="O374" s="3" t="s">
        <v>1038</v>
      </c>
      <c r="P374" t="s">
        <v>1042</v>
      </c>
      <c r="Q374" s="3">
        <v>10</v>
      </c>
      <c r="R374">
        <v>14</v>
      </c>
    </row>
    <row r="375" spans="1:18" x14ac:dyDescent="0.25">
      <c r="A375" t="s">
        <v>775</v>
      </c>
      <c r="B375" t="s">
        <v>776</v>
      </c>
      <c r="C375" t="s">
        <v>20</v>
      </c>
      <c r="D375">
        <v>39</v>
      </c>
      <c r="E375" t="s">
        <v>1036</v>
      </c>
      <c r="F375" t="s">
        <v>1037</v>
      </c>
      <c r="G375" t="s">
        <v>1041</v>
      </c>
      <c r="H375">
        <v>13</v>
      </c>
      <c r="I375" s="3">
        <v>30</v>
      </c>
      <c r="J375" s="3">
        <v>30</v>
      </c>
      <c r="K375">
        <v>1.1000000000000001</v>
      </c>
      <c r="L375" t="b">
        <v>1</v>
      </c>
      <c r="M375" s="2"/>
      <c r="O375" s="3" t="s">
        <v>1038</v>
      </c>
      <c r="P375" t="s">
        <v>1025</v>
      </c>
      <c r="Q375" s="3">
        <v>8</v>
      </c>
      <c r="R375">
        <v>4</v>
      </c>
    </row>
    <row r="376" spans="1:18" x14ac:dyDescent="0.25">
      <c r="A376" t="s">
        <v>777</v>
      </c>
      <c r="B376" t="s">
        <v>778</v>
      </c>
      <c r="C376" t="s">
        <v>43</v>
      </c>
      <c r="D376">
        <v>41</v>
      </c>
      <c r="E376" t="s">
        <v>1047</v>
      </c>
      <c r="F376" t="s">
        <v>1048</v>
      </c>
      <c r="G376" t="s">
        <v>1023</v>
      </c>
      <c r="H376">
        <v>10</v>
      </c>
      <c r="I376" s="3" t="s">
        <v>44</v>
      </c>
      <c r="J376" s="3">
        <v>50</v>
      </c>
      <c r="K376">
        <v>2.1</v>
      </c>
      <c r="L376" t="b">
        <v>1</v>
      </c>
      <c r="M376" s="4">
        <v>0.82</v>
      </c>
      <c r="O376" s="3" t="s">
        <v>1038</v>
      </c>
      <c r="P376" t="s">
        <v>1032</v>
      </c>
      <c r="Q376" s="3">
        <v>1</v>
      </c>
      <c r="R376">
        <v>1</v>
      </c>
    </row>
    <row r="377" spans="1:18" x14ac:dyDescent="0.25">
      <c r="A377" t="s">
        <v>779</v>
      </c>
      <c r="B377" t="s">
        <v>780</v>
      </c>
      <c r="C377" t="s">
        <v>43</v>
      </c>
      <c r="D377">
        <v>24</v>
      </c>
      <c r="E377" t="s">
        <v>1030</v>
      </c>
      <c r="F377" t="s">
        <v>1030</v>
      </c>
      <c r="G377" t="s">
        <v>1050</v>
      </c>
      <c r="H377">
        <v>3</v>
      </c>
      <c r="I377" s="3" t="s">
        <v>31</v>
      </c>
      <c r="J377" s="3">
        <v>30</v>
      </c>
      <c r="K377">
        <v>2.2999999999999998</v>
      </c>
      <c r="L377" t="b">
        <v>0</v>
      </c>
      <c r="M377" s="4">
        <v>0.66</v>
      </c>
      <c r="O377" s="3" t="s">
        <v>1024</v>
      </c>
      <c r="P377" t="s">
        <v>1032</v>
      </c>
      <c r="Q377" s="3">
        <v>4</v>
      </c>
      <c r="R377">
        <v>5</v>
      </c>
    </row>
    <row r="378" spans="1:18" x14ac:dyDescent="0.25">
      <c r="A378" t="s">
        <v>781</v>
      </c>
      <c r="B378" t="s">
        <v>782</v>
      </c>
      <c r="C378" t="s">
        <v>43</v>
      </c>
      <c r="D378">
        <v>50</v>
      </c>
      <c r="E378" t="s">
        <v>1026</v>
      </c>
      <c r="F378" t="s">
        <v>1027</v>
      </c>
      <c r="G378" t="s">
        <v>1031</v>
      </c>
      <c r="H378">
        <v>26</v>
      </c>
      <c r="J378" s="3">
        <v>52</v>
      </c>
      <c r="K378">
        <v>3.6</v>
      </c>
      <c r="L378" t="b">
        <v>1</v>
      </c>
      <c r="M378" s="2">
        <v>82</v>
      </c>
      <c r="O378" s="3" t="s">
        <v>1038</v>
      </c>
      <c r="P378" t="s">
        <v>1025</v>
      </c>
      <c r="Q378" s="3">
        <v>11</v>
      </c>
      <c r="R378">
        <v>9</v>
      </c>
    </row>
    <row r="379" spans="1:18" x14ac:dyDescent="0.25">
      <c r="A379" t="s">
        <v>783</v>
      </c>
      <c r="B379" t="s">
        <v>784</v>
      </c>
      <c r="C379" t="s">
        <v>20</v>
      </c>
      <c r="D379">
        <v>23</v>
      </c>
      <c r="E379" t="s">
        <v>1030</v>
      </c>
      <c r="F379" t="s">
        <v>1030</v>
      </c>
      <c r="G379" t="s">
        <v>1035</v>
      </c>
      <c r="H379">
        <v>4</v>
      </c>
      <c r="I379" s="3" t="s">
        <v>262</v>
      </c>
      <c r="J379" s="3">
        <v>20</v>
      </c>
      <c r="K379">
        <v>4.7</v>
      </c>
      <c r="L379" t="b">
        <v>1</v>
      </c>
      <c r="M379" s="4">
        <v>0.84</v>
      </c>
      <c r="O379" s="3" t="s">
        <v>1038</v>
      </c>
      <c r="P379" t="s">
        <v>1032</v>
      </c>
      <c r="Q379" s="3">
        <v>4</v>
      </c>
      <c r="R379">
        <v>4</v>
      </c>
    </row>
    <row r="380" spans="1:18" x14ac:dyDescent="0.25">
      <c r="A380" t="s">
        <v>785</v>
      </c>
      <c r="B380" t="s">
        <v>786</v>
      </c>
      <c r="C380" t="s">
        <v>43</v>
      </c>
      <c r="D380">
        <v>27</v>
      </c>
      <c r="E380" t="s">
        <v>1062</v>
      </c>
      <c r="F380" t="s">
        <v>1027</v>
      </c>
      <c r="G380" t="s">
        <v>1050</v>
      </c>
      <c r="H380">
        <v>8</v>
      </c>
      <c r="I380" s="3">
        <v>20</v>
      </c>
      <c r="J380" s="3">
        <v>20</v>
      </c>
      <c r="K380">
        <v>4.8</v>
      </c>
      <c r="L380" t="b">
        <v>0</v>
      </c>
      <c r="M380" s="4">
        <v>0.81</v>
      </c>
      <c r="O380" s="3" t="s">
        <v>1038</v>
      </c>
      <c r="P380" t="s">
        <v>1029</v>
      </c>
      <c r="Q380" s="3">
        <v>6</v>
      </c>
      <c r="R380">
        <v>8</v>
      </c>
    </row>
    <row r="381" spans="1:18" x14ac:dyDescent="0.25">
      <c r="A381" t="s">
        <v>787</v>
      </c>
      <c r="B381" t="s">
        <v>788</v>
      </c>
      <c r="C381" t="s">
        <v>43</v>
      </c>
      <c r="D381">
        <v>58</v>
      </c>
      <c r="E381" t="s">
        <v>1067</v>
      </c>
      <c r="F381" t="s">
        <v>1068</v>
      </c>
      <c r="G381" t="s">
        <v>30</v>
      </c>
      <c r="H381">
        <v>10</v>
      </c>
      <c r="I381" s="3">
        <v>75</v>
      </c>
      <c r="J381" s="3">
        <v>75</v>
      </c>
      <c r="K381">
        <v>4.2</v>
      </c>
      <c r="L381" t="b">
        <v>0</v>
      </c>
      <c r="M381" s="2">
        <v>71</v>
      </c>
      <c r="O381" s="3" t="s">
        <v>1038</v>
      </c>
      <c r="P381" t="s">
        <v>1042</v>
      </c>
      <c r="Q381" s="3">
        <v>7</v>
      </c>
      <c r="R381">
        <v>5</v>
      </c>
    </row>
    <row r="382" spans="1:18" x14ac:dyDescent="0.25">
      <c r="A382" t="s">
        <v>789</v>
      </c>
      <c r="B382" t="s">
        <v>790</v>
      </c>
      <c r="C382" t="s">
        <v>43</v>
      </c>
      <c r="D382">
        <v>37</v>
      </c>
      <c r="E382" t="s">
        <v>1021</v>
      </c>
      <c r="F382" t="s">
        <v>1022</v>
      </c>
      <c r="G382" t="s">
        <v>1035</v>
      </c>
      <c r="H382">
        <v>5</v>
      </c>
      <c r="J382" s="3">
        <v>52</v>
      </c>
      <c r="K382">
        <v>4.8</v>
      </c>
      <c r="L382" t="b">
        <v>1</v>
      </c>
      <c r="M382" s="4">
        <v>0.61</v>
      </c>
      <c r="O382" s="3" t="s">
        <v>1045</v>
      </c>
      <c r="P382" t="s">
        <v>1025</v>
      </c>
      <c r="Q382" s="3">
        <v>2</v>
      </c>
      <c r="R382">
        <v>1</v>
      </c>
    </row>
    <row r="383" spans="1:18" x14ac:dyDescent="0.25">
      <c r="A383" t="s">
        <v>791</v>
      </c>
      <c r="B383" t="s">
        <v>792</v>
      </c>
      <c r="C383" t="s">
        <v>43</v>
      </c>
      <c r="D383">
        <v>39</v>
      </c>
      <c r="E383" t="s">
        <v>1072</v>
      </c>
      <c r="F383" t="s">
        <v>1048</v>
      </c>
      <c r="G383" t="s">
        <v>1023</v>
      </c>
      <c r="H383">
        <v>18</v>
      </c>
      <c r="I383" s="3">
        <v>75</v>
      </c>
      <c r="J383" s="3">
        <v>75</v>
      </c>
      <c r="K383">
        <v>4</v>
      </c>
      <c r="L383" t="b">
        <v>1</v>
      </c>
      <c r="M383" s="4">
        <v>0.66</v>
      </c>
      <c r="O383" s="3" t="s">
        <v>1024</v>
      </c>
      <c r="P383" t="s">
        <v>1025</v>
      </c>
      <c r="Q383" s="3">
        <v>10</v>
      </c>
      <c r="R383">
        <v>8</v>
      </c>
    </row>
    <row r="384" spans="1:18" x14ac:dyDescent="0.25">
      <c r="A384" t="s">
        <v>793</v>
      </c>
      <c r="B384" t="s">
        <v>794</v>
      </c>
      <c r="C384" t="s">
        <v>20</v>
      </c>
      <c r="D384">
        <v>46</v>
      </c>
      <c r="E384" t="s">
        <v>1065</v>
      </c>
      <c r="F384" t="s">
        <v>1066</v>
      </c>
      <c r="G384" t="s">
        <v>1041</v>
      </c>
      <c r="H384">
        <v>10</v>
      </c>
      <c r="I384" s="3" t="s">
        <v>82</v>
      </c>
      <c r="J384" s="3">
        <v>20</v>
      </c>
      <c r="K384">
        <v>2.4</v>
      </c>
      <c r="L384" t="b">
        <v>1</v>
      </c>
      <c r="M384" s="4">
        <v>0.97</v>
      </c>
      <c r="O384" s="3" t="s">
        <v>1046</v>
      </c>
      <c r="P384" t="s">
        <v>1032</v>
      </c>
      <c r="Q384" s="3">
        <v>13</v>
      </c>
      <c r="R384">
        <v>2</v>
      </c>
    </row>
    <row r="385" spans="1:18" x14ac:dyDescent="0.25">
      <c r="A385" t="s">
        <v>795</v>
      </c>
      <c r="B385" t="s">
        <v>796</v>
      </c>
      <c r="C385" t="s">
        <v>20</v>
      </c>
      <c r="D385">
        <v>41</v>
      </c>
      <c r="E385" t="s">
        <v>47</v>
      </c>
      <c r="F385" t="s">
        <v>1027</v>
      </c>
      <c r="G385" t="s">
        <v>1049</v>
      </c>
      <c r="H385">
        <v>0</v>
      </c>
      <c r="I385" s="3" t="s">
        <v>262</v>
      </c>
      <c r="J385" s="3">
        <v>20</v>
      </c>
      <c r="K385">
        <v>4.8</v>
      </c>
      <c r="L385" t="b">
        <v>0</v>
      </c>
      <c r="M385" s="4">
        <v>0.74</v>
      </c>
      <c r="O385" s="3" t="s">
        <v>1038</v>
      </c>
      <c r="P385" t="s">
        <v>1025</v>
      </c>
      <c r="Q385" s="3">
        <v>2</v>
      </c>
      <c r="R385">
        <v>1</v>
      </c>
    </row>
    <row r="386" spans="1:18" x14ac:dyDescent="0.25">
      <c r="A386" t="s">
        <v>797</v>
      </c>
      <c r="B386" t="s">
        <v>798</v>
      </c>
      <c r="C386" t="s">
        <v>20</v>
      </c>
      <c r="D386">
        <v>39</v>
      </c>
      <c r="E386" t="s">
        <v>1071</v>
      </c>
      <c r="F386" t="s">
        <v>1048</v>
      </c>
      <c r="G386" t="s">
        <v>1023</v>
      </c>
      <c r="H386">
        <v>21</v>
      </c>
      <c r="I386" s="3">
        <v>30</v>
      </c>
      <c r="J386" s="3">
        <v>30</v>
      </c>
      <c r="K386">
        <v>4.7</v>
      </c>
      <c r="L386" t="b">
        <v>0</v>
      </c>
      <c r="M386" s="4">
        <v>0.61</v>
      </c>
      <c r="O386" s="3" t="s">
        <v>1045</v>
      </c>
      <c r="P386" t="s">
        <v>1029</v>
      </c>
      <c r="Q386" s="3">
        <v>15</v>
      </c>
      <c r="R386">
        <v>6</v>
      </c>
    </row>
    <row r="387" spans="1:18" x14ac:dyDescent="0.25">
      <c r="A387" t="s">
        <v>799</v>
      </c>
      <c r="B387" t="s">
        <v>800</v>
      </c>
      <c r="C387" t="s">
        <v>43</v>
      </c>
      <c r="D387">
        <v>59</v>
      </c>
      <c r="E387" t="s">
        <v>1065</v>
      </c>
      <c r="F387" t="s">
        <v>1066</v>
      </c>
      <c r="G387" t="s">
        <v>1023</v>
      </c>
      <c r="H387">
        <v>25</v>
      </c>
      <c r="I387" s="3">
        <v>20</v>
      </c>
      <c r="J387" s="3">
        <v>20</v>
      </c>
      <c r="K387">
        <v>4</v>
      </c>
      <c r="L387" t="b">
        <v>0</v>
      </c>
      <c r="M387" s="4">
        <v>0.9</v>
      </c>
      <c r="O387" s="3" t="s">
        <v>1045</v>
      </c>
      <c r="P387" t="s">
        <v>1032</v>
      </c>
      <c r="Q387" s="3">
        <v>15</v>
      </c>
      <c r="R387">
        <v>9</v>
      </c>
    </row>
    <row r="388" spans="1:18" x14ac:dyDescent="0.25">
      <c r="A388" t="s">
        <v>801</v>
      </c>
      <c r="B388" t="s">
        <v>802</v>
      </c>
      <c r="C388" t="s">
        <v>43</v>
      </c>
      <c r="D388">
        <v>21</v>
      </c>
      <c r="E388" t="s">
        <v>1036</v>
      </c>
      <c r="F388" t="s">
        <v>1037</v>
      </c>
      <c r="G388" t="s">
        <v>1054</v>
      </c>
      <c r="H388">
        <v>0</v>
      </c>
      <c r="I388" s="3" t="s">
        <v>26</v>
      </c>
      <c r="J388" s="3">
        <v>40</v>
      </c>
      <c r="K388">
        <v>4.0999999999999996</v>
      </c>
      <c r="L388" t="b">
        <v>1</v>
      </c>
      <c r="M388" s="4">
        <v>0.97</v>
      </c>
      <c r="O388" s="3" t="s">
        <v>1045</v>
      </c>
      <c r="P388" t="s">
        <v>1032</v>
      </c>
      <c r="Q388" s="3">
        <v>4</v>
      </c>
      <c r="R388">
        <v>1</v>
      </c>
    </row>
    <row r="389" spans="1:18" x14ac:dyDescent="0.25">
      <c r="A389" t="s">
        <v>803</v>
      </c>
      <c r="B389" t="s">
        <v>804</v>
      </c>
      <c r="C389" t="s">
        <v>20</v>
      </c>
      <c r="D389">
        <v>23</v>
      </c>
      <c r="E389" t="s">
        <v>1062</v>
      </c>
      <c r="F389" t="s">
        <v>1027</v>
      </c>
      <c r="G389" t="s">
        <v>1054</v>
      </c>
      <c r="H389">
        <v>5</v>
      </c>
      <c r="I389" s="3">
        <v>100</v>
      </c>
      <c r="J389" s="3">
        <v>100</v>
      </c>
      <c r="K389">
        <v>3.2</v>
      </c>
      <c r="L389" t="b">
        <v>1</v>
      </c>
      <c r="M389" s="2"/>
      <c r="O389" s="3" t="s">
        <v>1046</v>
      </c>
      <c r="P389" t="s">
        <v>1032</v>
      </c>
      <c r="Q389" s="3">
        <v>5</v>
      </c>
      <c r="R389">
        <v>5</v>
      </c>
    </row>
    <row r="390" spans="1:18" x14ac:dyDescent="0.25">
      <c r="A390" t="s">
        <v>805</v>
      </c>
      <c r="B390" t="s">
        <v>806</v>
      </c>
      <c r="C390" t="s">
        <v>43</v>
      </c>
      <c r="D390">
        <v>27</v>
      </c>
      <c r="E390" t="s">
        <v>1065</v>
      </c>
      <c r="F390" t="s">
        <v>1066</v>
      </c>
      <c r="G390" t="s">
        <v>1033</v>
      </c>
      <c r="H390">
        <v>1</v>
      </c>
      <c r="I390" s="3">
        <v>20</v>
      </c>
      <c r="J390" s="3">
        <v>20</v>
      </c>
      <c r="K390">
        <v>4.3</v>
      </c>
      <c r="L390" t="b">
        <v>0</v>
      </c>
      <c r="M390" s="4">
        <v>0.76</v>
      </c>
      <c r="O390" s="3" t="s">
        <v>1038</v>
      </c>
      <c r="P390" t="s">
        <v>1032</v>
      </c>
      <c r="Q390" s="3">
        <v>4</v>
      </c>
      <c r="R390">
        <v>3</v>
      </c>
    </row>
    <row r="391" spans="1:18" x14ac:dyDescent="0.25">
      <c r="A391" t="s">
        <v>807</v>
      </c>
      <c r="B391" t="s">
        <v>808</v>
      </c>
      <c r="C391" t="s">
        <v>43</v>
      </c>
      <c r="D391">
        <v>27</v>
      </c>
      <c r="E391" t="s">
        <v>1069</v>
      </c>
      <c r="F391" t="s">
        <v>1070</v>
      </c>
      <c r="G391" t="s">
        <v>1050</v>
      </c>
      <c r="H391">
        <v>4</v>
      </c>
      <c r="I391" s="3">
        <v>40</v>
      </c>
      <c r="J391" s="3">
        <v>40</v>
      </c>
      <c r="K391">
        <v>4.4000000000000004</v>
      </c>
      <c r="L391" t="b">
        <v>0</v>
      </c>
      <c r="M391" s="4">
        <v>0.92</v>
      </c>
      <c r="O391" s="3" t="s">
        <v>1024</v>
      </c>
      <c r="P391" t="s">
        <v>1029</v>
      </c>
      <c r="Q391" s="3">
        <v>4</v>
      </c>
      <c r="R391">
        <v>4</v>
      </c>
    </row>
    <row r="392" spans="1:18" x14ac:dyDescent="0.25">
      <c r="A392" t="s">
        <v>809</v>
      </c>
      <c r="B392" t="s">
        <v>810</v>
      </c>
      <c r="C392" t="s">
        <v>20</v>
      </c>
      <c r="D392">
        <v>48</v>
      </c>
      <c r="E392" t="s">
        <v>1067</v>
      </c>
      <c r="F392" t="s">
        <v>1068</v>
      </c>
      <c r="G392" t="s">
        <v>1041</v>
      </c>
      <c r="H392">
        <v>21</v>
      </c>
      <c r="I392" s="3">
        <v>40</v>
      </c>
      <c r="J392" s="3">
        <v>40</v>
      </c>
      <c r="K392">
        <v>2.2999999999999998</v>
      </c>
      <c r="L392" t="b">
        <v>0</v>
      </c>
      <c r="M392" s="2"/>
      <c r="O392" s="3" t="s">
        <v>1024</v>
      </c>
      <c r="P392" t="s">
        <v>1032</v>
      </c>
      <c r="Q392" s="3">
        <v>14</v>
      </c>
      <c r="R392">
        <v>10</v>
      </c>
    </row>
    <row r="393" spans="1:18" x14ac:dyDescent="0.25">
      <c r="A393" t="s">
        <v>811</v>
      </c>
      <c r="B393" t="s">
        <v>812</v>
      </c>
      <c r="C393" t="s">
        <v>43</v>
      </c>
      <c r="D393">
        <v>21</v>
      </c>
      <c r="E393" t="s">
        <v>1067</v>
      </c>
      <c r="F393" t="s">
        <v>1068</v>
      </c>
      <c r="G393" t="s">
        <v>30</v>
      </c>
      <c r="H393">
        <v>1</v>
      </c>
      <c r="I393" s="3" t="s">
        <v>82</v>
      </c>
      <c r="J393" s="3">
        <v>20</v>
      </c>
      <c r="K393">
        <v>2.4</v>
      </c>
      <c r="L393" t="b">
        <v>1</v>
      </c>
      <c r="M393" s="4">
        <v>0.66</v>
      </c>
      <c r="O393" s="3" t="s">
        <v>1045</v>
      </c>
      <c r="P393" t="s">
        <v>1025</v>
      </c>
      <c r="Q393" s="3">
        <v>4</v>
      </c>
      <c r="R393">
        <v>4</v>
      </c>
    </row>
    <row r="394" spans="1:18" x14ac:dyDescent="0.25">
      <c r="A394" t="s">
        <v>813</v>
      </c>
      <c r="B394" t="s">
        <v>814</v>
      </c>
      <c r="C394" t="s">
        <v>43</v>
      </c>
      <c r="D394">
        <v>37</v>
      </c>
      <c r="E394" t="s">
        <v>1021</v>
      </c>
      <c r="F394" t="s">
        <v>1022</v>
      </c>
      <c r="G394" t="s">
        <v>1054</v>
      </c>
      <c r="H394">
        <v>10</v>
      </c>
      <c r="I394" s="3">
        <v>50</v>
      </c>
      <c r="J394" s="3">
        <v>50</v>
      </c>
      <c r="K394">
        <v>4.5999999999999996</v>
      </c>
      <c r="L394" t="b">
        <v>0</v>
      </c>
      <c r="M394" s="4">
        <v>0.83</v>
      </c>
      <c r="O394" s="3" t="s">
        <v>1046</v>
      </c>
      <c r="P394" t="s">
        <v>1029</v>
      </c>
      <c r="Q394" s="3">
        <v>1</v>
      </c>
      <c r="R394">
        <v>1</v>
      </c>
    </row>
    <row r="395" spans="1:18" x14ac:dyDescent="0.25">
      <c r="A395" t="s">
        <v>815</v>
      </c>
      <c r="B395" t="s">
        <v>816</v>
      </c>
      <c r="C395" t="s">
        <v>20</v>
      </c>
      <c r="D395">
        <v>31</v>
      </c>
      <c r="E395" t="s">
        <v>1030</v>
      </c>
      <c r="F395" t="s">
        <v>1030</v>
      </c>
      <c r="G395" t="s">
        <v>1049</v>
      </c>
      <c r="H395">
        <v>10</v>
      </c>
      <c r="I395" s="3">
        <v>50</v>
      </c>
      <c r="J395" s="3">
        <v>50</v>
      </c>
      <c r="K395">
        <v>0</v>
      </c>
      <c r="L395" t="s">
        <v>111</v>
      </c>
      <c r="M395" s="2"/>
      <c r="O395" s="3" t="s">
        <v>1046</v>
      </c>
      <c r="P395" t="s">
        <v>1042</v>
      </c>
      <c r="Q395" s="3">
        <v>10</v>
      </c>
      <c r="R395">
        <v>4</v>
      </c>
    </row>
    <row r="396" spans="1:18" x14ac:dyDescent="0.25">
      <c r="A396" t="s">
        <v>817</v>
      </c>
      <c r="B396" t="s">
        <v>818</v>
      </c>
      <c r="C396" t="s">
        <v>20</v>
      </c>
      <c r="D396">
        <v>41</v>
      </c>
      <c r="E396" t="s">
        <v>1065</v>
      </c>
      <c r="F396" t="s">
        <v>1066</v>
      </c>
      <c r="G396" t="s">
        <v>1023</v>
      </c>
      <c r="H396">
        <v>21</v>
      </c>
      <c r="J396" s="3">
        <v>52</v>
      </c>
      <c r="K396">
        <v>0</v>
      </c>
      <c r="L396" t="b">
        <v>1</v>
      </c>
      <c r="M396" s="2"/>
      <c r="O396" s="3" t="s">
        <v>1046</v>
      </c>
      <c r="P396" t="s">
        <v>1042</v>
      </c>
      <c r="Q396" s="3">
        <v>10</v>
      </c>
      <c r="R396">
        <v>9</v>
      </c>
    </row>
    <row r="397" spans="1:18" x14ac:dyDescent="0.25">
      <c r="A397" t="s">
        <v>819</v>
      </c>
      <c r="B397" t="s">
        <v>1076</v>
      </c>
      <c r="C397" t="s">
        <v>43</v>
      </c>
      <c r="D397">
        <v>31</v>
      </c>
      <c r="E397" t="s">
        <v>1060</v>
      </c>
      <c r="F397" t="s">
        <v>1061</v>
      </c>
      <c r="G397" t="s">
        <v>1050</v>
      </c>
      <c r="H397">
        <v>0</v>
      </c>
      <c r="I397" s="3" t="s">
        <v>82</v>
      </c>
      <c r="J397" s="3">
        <v>20</v>
      </c>
      <c r="K397">
        <v>4.2</v>
      </c>
      <c r="L397" t="b">
        <v>1</v>
      </c>
      <c r="M397" s="2">
        <v>82</v>
      </c>
      <c r="O397" s="3" t="s">
        <v>1024</v>
      </c>
      <c r="P397" t="s">
        <v>1025</v>
      </c>
      <c r="Q397" s="3">
        <v>5</v>
      </c>
      <c r="R397">
        <v>1</v>
      </c>
    </row>
    <row r="398" spans="1:18" x14ac:dyDescent="0.25">
      <c r="A398" t="s">
        <v>820</v>
      </c>
      <c r="B398" t="s">
        <v>821</v>
      </c>
      <c r="C398" t="s">
        <v>20</v>
      </c>
      <c r="D398">
        <v>58</v>
      </c>
      <c r="E398" t="s">
        <v>1047</v>
      </c>
      <c r="F398" t="s">
        <v>1048</v>
      </c>
      <c r="G398" t="s">
        <v>1041</v>
      </c>
      <c r="H398">
        <v>0</v>
      </c>
      <c r="I398" s="3">
        <v>50</v>
      </c>
      <c r="J398" s="3">
        <v>50</v>
      </c>
      <c r="K398">
        <v>2.2999999999999998</v>
      </c>
      <c r="L398" t="b">
        <v>0</v>
      </c>
      <c r="M398" s="4">
        <v>0.77</v>
      </c>
      <c r="O398" s="3" t="s">
        <v>1045</v>
      </c>
      <c r="P398" t="s">
        <v>1025</v>
      </c>
      <c r="Q398" s="3">
        <v>5</v>
      </c>
      <c r="R398">
        <v>2</v>
      </c>
    </row>
    <row r="399" spans="1:18" x14ac:dyDescent="0.25">
      <c r="A399" t="s">
        <v>822</v>
      </c>
      <c r="B399" t="s">
        <v>823</v>
      </c>
      <c r="C399" t="s">
        <v>20</v>
      </c>
      <c r="D399">
        <v>45</v>
      </c>
      <c r="E399" t="s">
        <v>1036</v>
      </c>
      <c r="F399" t="s">
        <v>1037</v>
      </c>
      <c r="G399" t="s">
        <v>1041</v>
      </c>
      <c r="H399">
        <v>17</v>
      </c>
      <c r="I399" s="3" t="s">
        <v>44</v>
      </c>
      <c r="J399" s="3">
        <v>50</v>
      </c>
      <c r="K399">
        <v>4.7</v>
      </c>
      <c r="L399" t="b">
        <v>1</v>
      </c>
      <c r="M399" s="4">
        <v>0.73</v>
      </c>
      <c r="O399" s="3" t="s">
        <v>1038</v>
      </c>
      <c r="P399" t="s">
        <v>1029</v>
      </c>
      <c r="Q399" s="3">
        <v>15</v>
      </c>
      <c r="R399">
        <v>11</v>
      </c>
    </row>
    <row r="400" spans="1:18" x14ac:dyDescent="0.25">
      <c r="A400" t="s">
        <v>824</v>
      </c>
      <c r="B400" t="s">
        <v>825</v>
      </c>
      <c r="C400" t="s">
        <v>43</v>
      </c>
      <c r="D400">
        <v>51</v>
      </c>
      <c r="E400" t="s">
        <v>1051</v>
      </c>
      <c r="F400" t="s">
        <v>1059</v>
      </c>
      <c r="G400" t="s">
        <v>1050</v>
      </c>
      <c r="H400">
        <v>5</v>
      </c>
      <c r="J400" s="3">
        <v>52</v>
      </c>
      <c r="K400">
        <v>3</v>
      </c>
      <c r="L400" t="b">
        <v>1</v>
      </c>
      <c r="M400" s="4">
        <v>0.88</v>
      </c>
      <c r="O400" s="3" t="s">
        <v>1024</v>
      </c>
      <c r="P400" t="s">
        <v>1042</v>
      </c>
      <c r="Q400" s="3">
        <v>2</v>
      </c>
      <c r="R400">
        <v>4</v>
      </c>
    </row>
    <row r="401" spans="1:18" x14ac:dyDescent="0.25">
      <c r="A401" t="s">
        <v>826</v>
      </c>
      <c r="B401" t="s">
        <v>827</v>
      </c>
      <c r="C401" t="s">
        <v>43</v>
      </c>
      <c r="D401">
        <v>54</v>
      </c>
      <c r="E401" t="s">
        <v>40</v>
      </c>
      <c r="F401" t="s">
        <v>1027</v>
      </c>
      <c r="G401" t="s">
        <v>1049</v>
      </c>
      <c r="H401">
        <v>3</v>
      </c>
      <c r="I401" s="3" t="s">
        <v>73</v>
      </c>
      <c r="J401" s="3">
        <v>30</v>
      </c>
      <c r="K401">
        <v>2.4</v>
      </c>
      <c r="L401" t="b">
        <v>0</v>
      </c>
      <c r="M401" s="4">
        <v>0.81</v>
      </c>
      <c r="O401" s="3" t="s">
        <v>1045</v>
      </c>
      <c r="P401" t="s">
        <v>1042</v>
      </c>
      <c r="Q401" s="3">
        <v>2</v>
      </c>
      <c r="R401">
        <v>3</v>
      </c>
    </row>
    <row r="402" spans="1:18" x14ac:dyDescent="0.25">
      <c r="A402" t="s">
        <v>828</v>
      </c>
      <c r="B402" t="s">
        <v>829</v>
      </c>
      <c r="C402" t="s">
        <v>43</v>
      </c>
      <c r="D402">
        <v>22</v>
      </c>
      <c r="E402" t="s">
        <v>1060</v>
      </c>
      <c r="F402" t="s">
        <v>1061</v>
      </c>
      <c r="G402" t="s">
        <v>1041</v>
      </c>
      <c r="H402">
        <v>1</v>
      </c>
      <c r="I402" s="3">
        <v>20</v>
      </c>
      <c r="J402" s="3">
        <v>20</v>
      </c>
      <c r="K402">
        <v>1.7</v>
      </c>
      <c r="L402" t="b">
        <v>0</v>
      </c>
      <c r="M402" s="4">
        <v>0.78</v>
      </c>
      <c r="O402" s="3" t="s">
        <v>1045</v>
      </c>
      <c r="P402" t="s">
        <v>1042</v>
      </c>
      <c r="Q402" s="3">
        <v>1</v>
      </c>
      <c r="R402">
        <v>2</v>
      </c>
    </row>
    <row r="403" spans="1:18" x14ac:dyDescent="0.25">
      <c r="A403" t="s">
        <v>830</v>
      </c>
      <c r="B403" t="s">
        <v>831</v>
      </c>
      <c r="C403" t="s">
        <v>43</v>
      </c>
      <c r="D403">
        <v>36</v>
      </c>
      <c r="E403" t="s">
        <v>1043</v>
      </c>
      <c r="F403" t="s">
        <v>1044</v>
      </c>
      <c r="G403" t="s">
        <v>1050</v>
      </c>
      <c r="H403">
        <v>2</v>
      </c>
      <c r="I403" s="3">
        <v>75</v>
      </c>
      <c r="J403" s="3">
        <v>75</v>
      </c>
      <c r="K403">
        <v>0</v>
      </c>
      <c r="L403" t="b">
        <v>0</v>
      </c>
      <c r="M403" s="4">
        <v>0.92</v>
      </c>
      <c r="O403" s="3" t="s">
        <v>1038</v>
      </c>
      <c r="P403" t="s">
        <v>1042</v>
      </c>
      <c r="Q403" s="3">
        <v>5</v>
      </c>
      <c r="R403">
        <v>1</v>
      </c>
    </row>
    <row r="404" spans="1:18" x14ac:dyDescent="0.25">
      <c r="A404" t="s">
        <v>832</v>
      </c>
      <c r="B404" t="s">
        <v>833</v>
      </c>
      <c r="C404" t="s">
        <v>43</v>
      </c>
      <c r="D404">
        <v>50</v>
      </c>
      <c r="E404" t="s">
        <v>1030</v>
      </c>
      <c r="F404" t="s">
        <v>1030</v>
      </c>
      <c r="G404" t="s">
        <v>1054</v>
      </c>
      <c r="H404">
        <v>32</v>
      </c>
      <c r="I404" s="3" t="s">
        <v>31</v>
      </c>
      <c r="J404" s="3">
        <v>30</v>
      </c>
      <c r="K404">
        <v>2.4</v>
      </c>
      <c r="L404" t="b">
        <v>0</v>
      </c>
      <c r="M404" s="4">
        <v>0.64</v>
      </c>
      <c r="O404" s="3" t="s">
        <v>1038</v>
      </c>
      <c r="P404" t="s">
        <v>1042</v>
      </c>
      <c r="Q404" s="3">
        <v>12</v>
      </c>
      <c r="R404">
        <v>15</v>
      </c>
    </row>
    <row r="405" spans="1:18" x14ac:dyDescent="0.25">
      <c r="A405" t="s">
        <v>834</v>
      </c>
      <c r="B405" t="s">
        <v>835</v>
      </c>
      <c r="C405" t="s">
        <v>20</v>
      </c>
      <c r="D405">
        <v>41</v>
      </c>
      <c r="E405" t="s">
        <v>1026</v>
      </c>
      <c r="F405" t="s">
        <v>1027</v>
      </c>
      <c r="G405" t="s">
        <v>1023</v>
      </c>
      <c r="H405">
        <v>14</v>
      </c>
      <c r="I405" s="3">
        <v>30</v>
      </c>
      <c r="J405" s="3">
        <v>30</v>
      </c>
      <c r="K405">
        <v>0</v>
      </c>
      <c r="L405" t="b">
        <v>1</v>
      </c>
      <c r="M405" s="4">
        <v>0.78</v>
      </c>
      <c r="O405" s="3" t="s">
        <v>1038</v>
      </c>
      <c r="P405" t="s">
        <v>1032</v>
      </c>
      <c r="Q405" s="3">
        <v>7</v>
      </c>
      <c r="R405">
        <v>10</v>
      </c>
    </row>
    <row r="406" spans="1:18" x14ac:dyDescent="0.25">
      <c r="A406" t="s">
        <v>836</v>
      </c>
      <c r="B406" t="s">
        <v>837</v>
      </c>
      <c r="C406" t="s">
        <v>43</v>
      </c>
      <c r="D406">
        <v>41</v>
      </c>
      <c r="E406" t="s">
        <v>1067</v>
      </c>
      <c r="F406" t="s">
        <v>1068</v>
      </c>
      <c r="G406" t="s">
        <v>1033</v>
      </c>
      <c r="H406">
        <v>10</v>
      </c>
      <c r="I406" s="3">
        <v>20</v>
      </c>
      <c r="J406" s="3">
        <v>20</v>
      </c>
      <c r="K406">
        <v>1.8</v>
      </c>
      <c r="L406" t="b">
        <v>1</v>
      </c>
      <c r="M406" s="2">
        <v>85</v>
      </c>
      <c r="O406" s="3" t="s">
        <v>1046</v>
      </c>
      <c r="P406" t="s">
        <v>1025</v>
      </c>
      <c r="Q406" s="3">
        <v>6</v>
      </c>
      <c r="R406">
        <v>4</v>
      </c>
    </row>
    <row r="407" spans="1:18" x14ac:dyDescent="0.25">
      <c r="A407" t="s">
        <v>838</v>
      </c>
      <c r="B407" t="s">
        <v>839</v>
      </c>
      <c r="C407" t="s">
        <v>20</v>
      </c>
      <c r="D407">
        <v>51</v>
      </c>
      <c r="E407" t="s">
        <v>1036</v>
      </c>
      <c r="F407" t="s">
        <v>1037</v>
      </c>
      <c r="G407" t="s">
        <v>1050</v>
      </c>
      <c r="H407">
        <v>27</v>
      </c>
      <c r="I407" s="3" t="s">
        <v>44</v>
      </c>
      <c r="J407" s="3">
        <v>50</v>
      </c>
      <c r="K407">
        <v>0</v>
      </c>
      <c r="L407" t="s">
        <v>111</v>
      </c>
      <c r="M407" s="4">
        <v>0.78</v>
      </c>
      <c r="O407" s="3" t="s">
        <v>1038</v>
      </c>
      <c r="P407" t="s">
        <v>1032</v>
      </c>
      <c r="Q407" s="3">
        <v>14</v>
      </c>
      <c r="R407">
        <v>11</v>
      </c>
    </row>
    <row r="408" spans="1:18" x14ac:dyDescent="0.25">
      <c r="A408" t="s">
        <v>840</v>
      </c>
      <c r="B408" t="s">
        <v>841</v>
      </c>
      <c r="C408" t="s">
        <v>43</v>
      </c>
      <c r="D408">
        <v>21</v>
      </c>
      <c r="E408" t="s">
        <v>1063</v>
      </c>
      <c r="F408" t="s">
        <v>1064</v>
      </c>
      <c r="G408" t="s">
        <v>30</v>
      </c>
      <c r="H408">
        <v>2</v>
      </c>
      <c r="I408" s="3" t="s">
        <v>31</v>
      </c>
      <c r="J408" s="3">
        <v>30</v>
      </c>
      <c r="K408">
        <v>3.8</v>
      </c>
      <c r="L408" t="b">
        <v>1</v>
      </c>
      <c r="M408" s="4">
        <v>0.98</v>
      </c>
      <c r="O408" s="3" t="s">
        <v>1045</v>
      </c>
      <c r="P408" t="s">
        <v>1042</v>
      </c>
      <c r="Q408" s="3">
        <v>2</v>
      </c>
      <c r="R408">
        <v>1</v>
      </c>
    </row>
    <row r="409" spans="1:18" x14ac:dyDescent="0.25">
      <c r="A409" t="s">
        <v>842</v>
      </c>
      <c r="B409" t="s">
        <v>843</v>
      </c>
      <c r="C409" t="s">
        <v>43</v>
      </c>
      <c r="D409">
        <v>51</v>
      </c>
      <c r="E409" t="s">
        <v>1052</v>
      </c>
      <c r="F409" t="s">
        <v>1053</v>
      </c>
      <c r="G409" t="s">
        <v>30</v>
      </c>
      <c r="H409">
        <v>33</v>
      </c>
      <c r="I409" s="3" t="s">
        <v>37</v>
      </c>
      <c r="J409" s="3">
        <v>40</v>
      </c>
      <c r="K409">
        <v>0</v>
      </c>
      <c r="L409" t="b">
        <v>1</v>
      </c>
      <c r="M409" s="4">
        <v>0.63</v>
      </c>
      <c r="O409" s="3" t="s">
        <v>1038</v>
      </c>
      <c r="P409" t="s">
        <v>1029</v>
      </c>
      <c r="Q409" s="3">
        <v>16</v>
      </c>
      <c r="R409">
        <v>14</v>
      </c>
    </row>
    <row r="410" spans="1:18" x14ac:dyDescent="0.25">
      <c r="A410" t="s">
        <v>844</v>
      </c>
      <c r="B410" t="s">
        <v>845</v>
      </c>
      <c r="C410" t="s">
        <v>20</v>
      </c>
      <c r="D410">
        <v>37</v>
      </c>
      <c r="E410" t="s">
        <v>1039</v>
      </c>
      <c r="F410" t="s">
        <v>1040</v>
      </c>
      <c r="G410" t="s">
        <v>1031</v>
      </c>
      <c r="H410">
        <v>11</v>
      </c>
      <c r="I410" s="3" t="s">
        <v>37</v>
      </c>
      <c r="J410" s="3">
        <v>40</v>
      </c>
      <c r="K410">
        <v>3.6</v>
      </c>
      <c r="L410" t="b">
        <v>0</v>
      </c>
      <c r="M410" s="4">
        <v>0.73</v>
      </c>
      <c r="O410" s="3" t="s">
        <v>1045</v>
      </c>
      <c r="P410" t="s">
        <v>1029</v>
      </c>
      <c r="Q410" s="3">
        <v>14</v>
      </c>
      <c r="R410">
        <v>7</v>
      </c>
    </row>
    <row r="411" spans="1:18" x14ac:dyDescent="0.25">
      <c r="A411" t="s">
        <v>846</v>
      </c>
      <c r="B411" t="s">
        <v>847</v>
      </c>
      <c r="C411" t="s">
        <v>20</v>
      </c>
      <c r="D411">
        <v>20</v>
      </c>
      <c r="E411" t="s">
        <v>1072</v>
      </c>
      <c r="F411" t="s">
        <v>1048</v>
      </c>
      <c r="G411" t="s">
        <v>1031</v>
      </c>
      <c r="H411">
        <v>2</v>
      </c>
      <c r="I411" s="3">
        <v>30</v>
      </c>
      <c r="J411" s="3">
        <v>30</v>
      </c>
      <c r="K411">
        <v>0</v>
      </c>
      <c r="L411" t="b">
        <v>0</v>
      </c>
      <c r="M411" s="4">
        <v>0.94</v>
      </c>
      <c r="O411" s="3" t="s">
        <v>1024</v>
      </c>
      <c r="P411" t="s">
        <v>1042</v>
      </c>
      <c r="Q411" s="3">
        <v>2</v>
      </c>
      <c r="R411">
        <v>4</v>
      </c>
    </row>
    <row r="412" spans="1:18" x14ac:dyDescent="0.25">
      <c r="A412" t="s">
        <v>848</v>
      </c>
      <c r="B412" t="s">
        <v>849</v>
      </c>
      <c r="C412" t="s">
        <v>20</v>
      </c>
      <c r="D412">
        <v>50</v>
      </c>
      <c r="E412" t="s">
        <v>1026</v>
      </c>
      <c r="F412" t="s">
        <v>1027</v>
      </c>
      <c r="G412" t="s">
        <v>1033</v>
      </c>
      <c r="H412">
        <v>31</v>
      </c>
      <c r="I412" s="3" t="s">
        <v>44</v>
      </c>
      <c r="J412" s="3">
        <v>50</v>
      </c>
      <c r="K412">
        <v>4.0999999999999996</v>
      </c>
      <c r="L412" t="b">
        <v>0</v>
      </c>
      <c r="M412" s="4">
        <v>0.81</v>
      </c>
      <c r="O412" s="3" t="s">
        <v>1046</v>
      </c>
      <c r="P412" t="s">
        <v>1042</v>
      </c>
      <c r="Q412" s="3">
        <v>11</v>
      </c>
      <c r="R412">
        <v>3</v>
      </c>
    </row>
    <row r="413" spans="1:18" x14ac:dyDescent="0.25">
      <c r="A413" t="s">
        <v>850</v>
      </c>
      <c r="B413" t="s">
        <v>851</v>
      </c>
      <c r="C413" t="s">
        <v>20</v>
      </c>
      <c r="D413">
        <v>58</v>
      </c>
      <c r="E413" t="s">
        <v>1043</v>
      </c>
      <c r="F413" t="s">
        <v>1044</v>
      </c>
      <c r="G413" t="s">
        <v>1031</v>
      </c>
      <c r="H413">
        <v>17</v>
      </c>
      <c r="I413" s="3" t="s">
        <v>44</v>
      </c>
      <c r="J413" s="3">
        <v>50</v>
      </c>
      <c r="K413">
        <v>2.6</v>
      </c>
      <c r="L413" t="b">
        <v>1</v>
      </c>
      <c r="M413" s="4">
        <v>0.61</v>
      </c>
      <c r="O413" s="3" t="s">
        <v>1024</v>
      </c>
      <c r="P413" t="s">
        <v>1029</v>
      </c>
      <c r="Q413" s="3">
        <v>20</v>
      </c>
      <c r="R413">
        <v>1</v>
      </c>
    </row>
    <row r="414" spans="1:18" x14ac:dyDescent="0.25">
      <c r="A414" t="s">
        <v>852</v>
      </c>
      <c r="B414" t="s">
        <v>853</v>
      </c>
      <c r="C414" t="s">
        <v>20</v>
      </c>
      <c r="D414">
        <v>40</v>
      </c>
      <c r="E414" t="s">
        <v>1057</v>
      </c>
      <c r="F414" t="s">
        <v>1058</v>
      </c>
      <c r="G414" t="s">
        <v>1049</v>
      </c>
      <c r="H414">
        <v>2</v>
      </c>
      <c r="I414" s="3" t="s">
        <v>177</v>
      </c>
      <c r="J414" s="3">
        <v>100</v>
      </c>
      <c r="K414">
        <v>0</v>
      </c>
      <c r="L414" t="b">
        <v>0</v>
      </c>
      <c r="M414" s="2"/>
      <c r="O414" s="3" t="s">
        <v>1024</v>
      </c>
      <c r="P414" t="s">
        <v>1032</v>
      </c>
      <c r="Q414" s="3">
        <v>3</v>
      </c>
      <c r="R414">
        <v>5</v>
      </c>
    </row>
    <row r="415" spans="1:18" x14ac:dyDescent="0.25">
      <c r="A415" t="s">
        <v>854</v>
      </c>
      <c r="B415" t="s">
        <v>855</v>
      </c>
      <c r="C415" t="s">
        <v>20</v>
      </c>
      <c r="D415">
        <v>26</v>
      </c>
      <c r="E415" t="s">
        <v>1065</v>
      </c>
      <c r="F415" t="s">
        <v>1066</v>
      </c>
      <c r="G415" t="s">
        <v>1033</v>
      </c>
      <c r="H415">
        <v>2</v>
      </c>
      <c r="I415" s="3">
        <v>20</v>
      </c>
      <c r="J415" s="3">
        <v>20</v>
      </c>
      <c r="K415">
        <v>1.3</v>
      </c>
      <c r="L415" t="s">
        <v>111</v>
      </c>
      <c r="M415" s="4">
        <v>0.83</v>
      </c>
      <c r="O415" s="3" t="s">
        <v>1045</v>
      </c>
      <c r="P415" t="s">
        <v>1032</v>
      </c>
      <c r="Q415" s="3">
        <v>1</v>
      </c>
      <c r="R415">
        <v>5</v>
      </c>
    </row>
    <row r="416" spans="1:18" x14ac:dyDescent="0.25">
      <c r="A416" t="s">
        <v>856</v>
      </c>
      <c r="B416" t="s">
        <v>857</v>
      </c>
      <c r="C416" t="s">
        <v>20</v>
      </c>
      <c r="D416">
        <v>44</v>
      </c>
      <c r="E416" t="s">
        <v>1051</v>
      </c>
      <c r="F416" t="s">
        <v>1059</v>
      </c>
      <c r="G416" t="s">
        <v>1050</v>
      </c>
      <c r="H416">
        <v>22</v>
      </c>
      <c r="I416" s="3">
        <v>30</v>
      </c>
      <c r="J416" s="3">
        <v>30</v>
      </c>
      <c r="K416">
        <v>4.0999999999999996</v>
      </c>
      <c r="L416" t="b">
        <v>1</v>
      </c>
      <c r="M416" s="2"/>
      <c r="O416" s="3" t="s">
        <v>1024</v>
      </c>
      <c r="P416" t="s">
        <v>1042</v>
      </c>
      <c r="Q416" s="3">
        <v>15</v>
      </c>
      <c r="R416">
        <v>5</v>
      </c>
    </row>
    <row r="417" spans="1:18" x14ac:dyDescent="0.25">
      <c r="A417" t="s">
        <v>858</v>
      </c>
      <c r="B417" t="s">
        <v>859</v>
      </c>
      <c r="C417" t="s">
        <v>43</v>
      </c>
      <c r="D417">
        <v>42</v>
      </c>
      <c r="E417" t="s">
        <v>1071</v>
      </c>
      <c r="F417" t="s">
        <v>1048</v>
      </c>
      <c r="G417" t="s">
        <v>1035</v>
      </c>
      <c r="H417">
        <v>8</v>
      </c>
      <c r="I417" s="3" t="s">
        <v>44</v>
      </c>
      <c r="J417" s="3">
        <v>50</v>
      </c>
      <c r="K417">
        <v>2.4</v>
      </c>
      <c r="L417" t="s">
        <v>111</v>
      </c>
      <c r="M417" s="4">
        <v>0.68</v>
      </c>
      <c r="O417" s="3" t="s">
        <v>1045</v>
      </c>
      <c r="P417" t="s">
        <v>1032</v>
      </c>
      <c r="Q417" s="3">
        <v>7</v>
      </c>
      <c r="R417">
        <v>11</v>
      </c>
    </row>
    <row r="418" spans="1:18" x14ac:dyDescent="0.25">
      <c r="A418" t="s">
        <v>860</v>
      </c>
      <c r="B418" t="s">
        <v>283</v>
      </c>
      <c r="C418" t="s">
        <v>43</v>
      </c>
      <c r="D418">
        <v>38</v>
      </c>
      <c r="E418" t="s">
        <v>1071</v>
      </c>
      <c r="F418" t="s">
        <v>1048</v>
      </c>
      <c r="G418" t="s">
        <v>1041</v>
      </c>
      <c r="H418">
        <v>9</v>
      </c>
      <c r="I418" s="3" t="s">
        <v>44</v>
      </c>
      <c r="J418" s="3">
        <v>50</v>
      </c>
      <c r="K418">
        <v>0</v>
      </c>
      <c r="L418" t="b">
        <v>0</v>
      </c>
      <c r="M418" s="4">
        <v>0.74</v>
      </c>
      <c r="O418" s="3" t="s">
        <v>1038</v>
      </c>
      <c r="P418" t="s">
        <v>1029</v>
      </c>
      <c r="Q418" s="3">
        <v>9</v>
      </c>
      <c r="R418">
        <v>9</v>
      </c>
    </row>
    <row r="419" spans="1:18" x14ac:dyDescent="0.25">
      <c r="A419" t="s">
        <v>861</v>
      </c>
      <c r="B419" t="s">
        <v>862</v>
      </c>
      <c r="C419" t="s">
        <v>43</v>
      </c>
      <c r="D419">
        <v>51</v>
      </c>
      <c r="E419" t="s">
        <v>1065</v>
      </c>
      <c r="F419" t="s">
        <v>1066</v>
      </c>
      <c r="G419" t="s">
        <v>1033</v>
      </c>
      <c r="H419">
        <v>32</v>
      </c>
      <c r="I419" s="3">
        <v>100</v>
      </c>
      <c r="J419" s="3">
        <v>100</v>
      </c>
      <c r="K419">
        <v>4.4000000000000004</v>
      </c>
      <c r="L419" t="b">
        <v>0</v>
      </c>
      <c r="M419" s="2">
        <v>91</v>
      </c>
      <c r="O419" s="3" t="s">
        <v>1038</v>
      </c>
      <c r="P419" t="s">
        <v>1032</v>
      </c>
      <c r="Q419" s="3">
        <v>14</v>
      </c>
      <c r="R419">
        <v>15</v>
      </c>
    </row>
    <row r="420" spans="1:18" x14ac:dyDescent="0.25">
      <c r="A420" t="s">
        <v>863</v>
      </c>
      <c r="B420" t="s">
        <v>864</v>
      </c>
      <c r="C420" t="s">
        <v>20</v>
      </c>
      <c r="D420">
        <v>36</v>
      </c>
      <c r="E420" t="s">
        <v>1063</v>
      </c>
      <c r="F420" t="s">
        <v>1064</v>
      </c>
      <c r="G420" t="s">
        <v>30</v>
      </c>
      <c r="H420">
        <v>8</v>
      </c>
      <c r="I420" s="3" t="s">
        <v>21</v>
      </c>
      <c r="J420" s="3">
        <v>100</v>
      </c>
      <c r="K420">
        <v>2.2000000000000002</v>
      </c>
      <c r="L420" t="b">
        <v>1</v>
      </c>
      <c r="M420" s="4">
        <v>0.97</v>
      </c>
      <c r="O420" s="3" t="s">
        <v>1045</v>
      </c>
      <c r="P420" t="s">
        <v>1042</v>
      </c>
      <c r="Q420" s="3">
        <v>10</v>
      </c>
      <c r="R420">
        <v>5</v>
      </c>
    </row>
    <row r="421" spans="1:18" x14ac:dyDescent="0.25">
      <c r="A421" t="s">
        <v>865</v>
      </c>
      <c r="B421" t="s">
        <v>1077</v>
      </c>
      <c r="C421" t="s">
        <v>20</v>
      </c>
      <c r="D421">
        <v>37</v>
      </c>
      <c r="E421" t="s">
        <v>1026</v>
      </c>
      <c r="F421" t="s">
        <v>1027</v>
      </c>
      <c r="G421" t="s">
        <v>1028</v>
      </c>
      <c r="H421">
        <v>10</v>
      </c>
      <c r="I421" s="3">
        <v>30</v>
      </c>
      <c r="J421" s="3">
        <v>30</v>
      </c>
      <c r="K421">
        <v>0</v>
      </c>
      <c r="L421" t="b">
        <v>0</v>
      </c>
      <c r="M421" s="4">
        <v>0.96</v>
      </c>
      <c r="O421" s="3" t="s">
        <v>1038</v>
      </c>
      <c r="P421" t="s">
        <v>1029</v>
      </c>
      <c r="Q421" s="3">
        <v>15</v>
      </c>
      <c r="R421">
        <v>12</v>
      </c>
    </row>
    <row r="422" spans="1:18" x14ac:dyDescent="0.25">
      <c r="A422" t="s">
        <v>866</v>
      </c>
      <c r="B422" t="s">
        <v>867</v>
      </c>
      <c r="C422" t="s">
        <v>43</v>
      </c>
      <c r="D422">
        <v>31</v>
      </c>
      <c r="E422" t="s">
        <v>1067</v>
      </c>
      <c r="F422" t="s">
        <v>1068</v>
      </c>
      <c r="G422" t="s">
        <v>1054</v>
      </c>
      <c r="H422">
        <v>0</v>
      </c>
      <c r="I422" s="3">
        <v>50</v>
      </c>
      <c r="J422" s="3">
        <v>50</v>
      </c>
      <c r="K422">
        <v>1.1000000000000001</v>
      </c>
      <c r="L422" t="b">
        <v>1</v>
      </c>
      <c r="M422" s="4">
        <v>0.73</v>
      </c>
      <c r="O422" s="3" t="s">
        <v>1046</v>
      </c>
      <c r="P422" t="s">
        <v>1032</v>
      </c>
      <c r="Q422" s="3">
        <v>2</v>
      </c>
      <c r="R422">
        <v>1</v>
      </c>
    </row>
    <row r="423" spans="1:18" x14ac:dyDescent="0.25">
      <c r="A423" t="s">
        <v>868</v>
      </c>
      <c r="B423" t="s">
        <v>869</v>
      </c>
      <c r="C423" t="s">
        <v>20</v>
      </c>
      <c r="D423">
        <v>47</v>
      </c>
      <c r="E423" t="s">
        <v>1055</v>
      </c>
      <c r="F423" t="s">
        <v>1056</v>
      </c>
      <c r="G423" t="s">
        <v>1050</v>
      </c>
      <c r="H423">
        <v>22</v>
      </c>
      <c r="J423" s="3">
        <v>52</v>
      </c>
      <c r="K423">
        <v>1.4</v>
      </c>
      <c r="L423" t="b">
        <v>1</v>
      </c>
      <c r="M423" s="4">
        <v>0.72</v>
      </c>
      <c r="O423" s="3" t="s">
        <v>1024</v>
      </c>
      <c r="P423" t="s">
        <v>1025</v>
      </c>
      <c r="Q423" s="3">
        <v>19</v>
      </c>
      <c r="R423">
        <v>2</v>
      </c>
    </row>
    <row r="424" spans="1:18" x14ac:dyDescent="0.25">
      <c r="A424" t="s">
        <v>870</v>
      </c>
      <c r="B424" t="s">
        <v>871</v>
      </c>
      <c r="C424" t="s">
        <v>20</v>
      </c>
      <c r="D424">
        <v>60</v>
      </c>
      <c r="E424" t="s">
        <v>1071</v>
      </c>
      <c r="F424" t="s">
        <v>1048</v>
      </c>
      <c r="G424" t="s">
        <v>1049</v>
      </c>
      <c r="H424">
        <v>34</v>
      </c>
      <c r="I424" s="3" t="s">
        <v>177</v>
      </c>
      <c r="J424" s="3">
        <v>100</v>
      </c>
      <c r="K424">
        <v>0</v>
      </c>
      <c r="L424" t="b">
        <v>1</v>
      </c>
      <c r="M424" s="4">
        <v>0.74</v>
      </c>
      <c r="O424" s="3" t="s">
        <v>1046</v>
      </c>
      <c r="P424" t="s">
        <v>1029</v>
      </c>
      <c r="Q424" s="3">
        <v>19</v>
      </c>
      <c r="R424">
        <v>14</v>
      </c>
    </row>
    <row r="425" spans="1:18" x14ac:dyDescent="0.25">
      <c r="A425" t="s">
        <v>872</v>
      </c>
      <c r="B425" t="s">
        <v>873</v>
      </c>
      <c r="C425" t="s">
        <v>20</v>
      </c>
      <c r="D425">
        <v>48</v>
      </c>
      <c r="E425" t="s">
        <v>1047</v>
      </c>
      <c r="F425" t="s">
        <v>1048</v>
      </c>
      <c r="G425" t="s">
        <v>1028</v>
      </c>
      <c r="H425">
        <v>5</v>
      </c>
      <c r="I425" s="3">
        <v>30</v>
      </c>
      <c r="J425" s="3">
        <v>30</v>
      </c>
      <c r="K425">
        <v>1.5</v>
      </c>
      <c r="L425" t="b">
        <v>0</v>
      </c>
      <c r="M425" s="2"/>
      <c r="O425" s="3" t="s">
        <v>1024</v>
      </c>
      <c r="P425" t="s">
        <v>1029</v>
      </c>
      <c r="Q425" s="3">
        <v>4</v>
      </c>
      <c r="R425">
        <v>2</v>
      </c>
    </row>
    <row r="426" spans="1:18" x14ac:dyDescent="0.25">
      <c r="A426" t="s">
        <v>874</v>
      </c>
      <c r="B426" t="s">
        <v>875</v>
      </c>
      <c r="C426" t="s">
        <v>20</v>
      </c>
      <c r="D426">
        <v>24</v>
      </c>
      <c r="E426" t="s">
        <v>1055</v>
      </c>
      <c r="F426" t="s">
        <v>1056</v>
      </c>
      <c r="G426" t="s">
        <v>30</v>
      </c>
      <c r="H426">
        <v>3</v>
      </c>
      <c r="I426" s="3">
        <v>20</v>
      </c>
      <c r="J426" s="3">
        <v>20</v>
      </c>
      <c r="K426">
        <v>0</v>
      </c>
      <c r="L426" t="b">
        <v>1</v>
      </c>
      <c r="M426" s="2"/>
      <c r="O426" s="3" t="s">
        <v>1038</v>
      </c>
      <c r="P426" t="s">
        <v>1025</v>
      </c>
      <c r="Q426" s="3">
        <v>2</v>
      </c>
      <c r="R426">
        <v>1</v>
      </c>
    </row>
    <row r="427" spans="1:18" x14ac:dyDescent="0.25">
      <c r="A427" t="s">
        <v>876</v>
      </c>
      <c r="B427" t="s">
        <v>877</v>
      </c>
      <c r="C427" t="s">
        <v>20</v>
      </c>
      <c r="D427">
        <v>35</v>
      </c>
      <c r="E427" t="s">
        <v>1036</v>
      </c>
      <c r="F427" t="s">
        <v>1037</v>
      </c>
      <c r="G427" t="s">
        <v>1035</v>
      </c>
      <c r="H427">
        <v>10</v>
      </c>
      <c r="I427" s="3">
        <v>75</v>
      </c>
      <c r="J427" s="3">
        <v>75</v>
      </c>
      <c r="K427">
        <v>0</v>
      </c>
      <c r="L427" t="b">
        <v>0</v>
      </c>
      <c r="M427" s="4">
        <v>0.74</v>
      </c>
      <c r="O427" s="3" t="s">
        <v>1046</v>
      </c>
      <c r="P427" t="s">
        <v>1025</v>
      </c>
      <c r="Q427" s="3">
        <v>8</v>
      </c>
      <c r="R427">
        <v>9</v>
      </c>
    </row>
    <row r="428" spans="1:18" x14ac:dyDescent="0.25">
      <c r="A428" t="s">
        <v>878</v>
      </c>
      <c r="B428" t="s">
        <v>879</v>
      </c>
      <c r="C428" t="s">
        <v>43</v>
      </c>
      <c r="D428">
        <v>35</v>
      </c>
      <c r="E428" t="s">
        <v>40</v>
      </c>
      <c r="F428" t="s">
        <v>1027</v>
      </c>
      <c r="G428" t="s">
        <v>1054</v>
      </c>
      <c r="H428">
        <v>10</v>
      </c>
      <c r="I428" s="3">
        <v>100</v>
      </c>
      <c r="J428" s="3">
        <v>100</v>
      </c>
      <c r="K428">
        <v>3.5</v>
      </c>
      <c r="L428" t="b">
        <v>1</v>
      </c>
      <c r="M428" s="4">
        <v>0.71</v>
      </c>
      <c r="O428" s="3" t="s">
        <v>1038</v>
      </c>
      <c r="P428" t="s">
        <v>1029</v>
      </c>
      <c r="Q428" s="3">
        <v>2</v>
      </c>
      <c r="R428">
        <v>1</v>
      </c>
    </row>
    <row r="429" spans="1:18" x14ac:dyDescent="0.25">
      <c r="A429" t="s">
        <v>880</v>
      </c>
      <c r="B429" t="s">
        <v>881</v>
      </c>
      <c r="C429" t="s">
        <v>20</v>
      </c>
      <c r="D429">
        <v>29</v>
      </c>
      <c r="E429" t="s">
        <v>1036</v>
      </c>
      <c r="F429" t="s">
        <v>1037</v>
      </c>
      <c r="G429" t="s">
        <v>1049</v>
      </c>
      <c r="H429">
        <v>6</v>
      </c>
      <c r="J429" s="3">
        <v>52</v>
      </c>
      <c r="K429">
        <v>4.8</v>
      </c>
      <c r="L429" t="b">
        <v>0</v>
      </c>
      <c r="M429" s="4">
        <v>0.83</v>
      </c>
      <c r="O429" s="3" t="s">
        <v>1024</v>
      </c>
      <c r="P429" t="s">
        <v>1025</v>
      </c>
      <c r="Q429" s="3">
        <v>14</v>
      </c>
      <c r="R429">
        <v>2</v>
      </c>
    </row>
    <row r="430" spans="1:18" x14ac:dyDescent="0.25">
      <c r="A430" t="s">
        <v>882</v>
      </c>
      <c r="B430" t="s">
        <v>883</v>
      </c>
      <c r="C430" t="s">
        <v>20</v>
      </c>
      <c r="D430">
        <v>36</v>
      </c>
      <c r="E430" t="s">
        <v>1021</v>
      </c>
      <c r="F430" t="s">
        <v>1022</v>
      </c>
      <c r="G430" t="s">
        <v>1035</v>
      </c>
      <c r="H430">
        <v>1</v>
      </c>
      <c r="I430" s="3" t="s">
        <v>122</v>
      </c>
      <c r="J430" s="3">
        <v>75</v>
      </c>
      <c r="K430">
        <v>2.4</v>
      </c>
      <c r="L430" t="b">
        <v>0</v>
      </c>
      <c r="M430" s="4">
        <v>0.63</v>
      </c>
      <c r="O430" s="3" t="s">
        <v>1045</v>
      </c>
      <c r="P430" t="s">
        <v>1042</v>
      </c>
      <c r="Q430" s="3">
        <v>4</v>
      </c>
      <c r="R430">
        <v>2</v>
      </c>
    </row>
    <row r="431" spans="1:18" x14ac:dyDescent="0.25">
      <c r="A431" t="s">
        <v>884</v>
      </c>
      <c r="B431" t="s">
        <v>885</v>
      </c>
      <c r="C431" t="s">
        <v>20</v>
      </c>
      <c r="D431">
        <v>44</v>
      </c>
      <c r="E431" t="s">
        <v>1062</v>
      </c>
      <c r="F431" t="s">
        <v>1027</v>
      </c>
      <c r="G431" t="s">
        <v>30</v>
      </c>
      <c r="H431">
        <v>0</v>
      </c>
      <c r="J431" s="3">
        <v>52</v>
      </c>
      <c r="K431">
        <v>4.8</v>
      </c>
      <c r="L431" t="b">
        <v>0</v>
      </c>
      <c r="M431" s="4">
        <v>0.84</v>
      </c>
      <c r="O431" s="3" t="s">
        <v>1045</v>
      </c>
      <c r="P431" t="s">
        <v>1042</v>
      </c>
      <c r="Q431" s="3">
        <v>4</v>
      </c>
      <c r="R431">
        <v>1</v>
      </c>
    </row>
    <row r="432" spans="1:18" x14ac:dyDescent="0.25">
      <c r="A432" t="s">
        <v>886</v>
      </c>
      <c r="B432" t="s">
        <v>887</v>
      </c>
      <c r="C432" t="s">
        <v>43</v>
      </c>
      <c r="D432">
        <v>44</v>
      </c>
      <c r="E432" t="s">
        <v>1067</v>
      </c>
      <c r="F432" t="s">
        <v>1068</v>
      </c>
      <c r="G432" t="s">
        <v>1033</v>
      </c>
      <c r="H432">
        <v>10</v>
      </c>
      <c r="J432" s="3">
        <v>52</v>
      </c>
      <c r="K432">
        <v>1.4</v>
      </c>
      <c r="L432" t="b">
        <v>0</v>
      </c>
      <c r="M432" s="4">
        <v>0.93</v>
      </c>
      <c r="O432" s="3" t="s">
        <v>1046</v>
      </c>
      <c r="P432" t="s">
        <v>1042</v>
      </c>
      <c r="Q432" s="3">
        <v>3</v>
      </c>
      <c r="R432">
        <v>1</v>
      </c>
    </row>
    <row r="433" spans="1:18" x14ac:dyDescent="0.25">
      <c r="A433" t="s">
        <v>888</v>
      </c>
      <c r="B433" t="s">
        <v>889</v>
      </c>
      <c r="C433" t="s">
        <v>43</v>
      </c>
      <c r="D433">
        <v>40</v>
      </c>
      <c r="E433" t="s">
        <v>1055</v>
      </c>
      <c r="F433" t="s">
        <v>1056</v>
      </c>
      <c r="G433" t="s">
        <v>30</v>
      </c>
      <c r="H433">
        <v>13</v>
      </c>
      <c r="I433" s="3" t="s">
        <v>21</v>
      </c>
      <c r="J433" s="3">
        <v>100</v>
      </c>
      <c r="K433">
        <v>1.1000000000000001</v>
      </c>
      <c r="L433" t="b">
        <v>1</v>
      </c>
      <c r="M433" s="2"/>
      <c r="O433" s="3" t="s">
        <v>1038</v>
      </c>
      <c r="P433" t="s">
        <v>1029</v>
      </c>
      <c r="Q433" s="3">
        <v>13</v>
      </c>
      <c r="R433">
        <v>9</v>
      </c>
    </row>
    <row r="434" spans="1:18" x14ac:dyDescent="0.25">
      <c r="A434" t="s">
        <v>890</v>
      </c>
      <c r="B434" t="s">
        <v>891</v>
      </c>
      <c r="C434" t="s">
        <v>20</v>
      </c>
      <c r="D434">
        <v>53</v>
      </c>
      <c r="E434" t="s">
        <v>1036</v>
      </c>
      <c r="F434" t="s">
        <v>1037</v>
      </c>
      <c r="G434" t="s">
        <v>1035</v>
      </c>
      <c r="H434">
        <v>13</v>
      </c>
      <c r="I434" s="3" t="s">
        <v>44</v>
      </c>
      <c r="J434" s="3">
        <v>50</v>
      </c>
      <c r="K434">
        <v>3.3</v>
      </c>
      <c r="L434" t="b">
        <v>1</v>
      </c>
      <c r="M434" s="4">
        <v>0.93</v>
      </c>
      <c r="O434" s="3" t="s">
        <v>1038</v>
      </c>
      <c r="P434" t="s">
        <v>1025</v>
      </c>
      <c r="Q434" s="3">
        <v>10</v>
      </c>
      <c r="R434">
        <v>10</v>
      </c>
    </row>
    <row r="435" spans="1:18" x14ac:dyDescent="0.25">
      <c r="A435" t="s">
        <v>892</v>
      </c>
      <c r="B435" t="s">
        <v>893</v>
      </c>
      <c r="C435" t="s">
        <v>20</v>
      </c>
      <c r="D435">
        <v>35</v>
      </c>
      <c r="E435" t="s">
        <v>1030</v>
      </c>
      <c r="F435" t="s">
        <v>1030</v>
      </c>
      <c r="G435" t="s">
        <v>1023</v>
      </c>
      <c r="H435">
        <v>0</v>
      </c>
      <c r="I435" s="3" t="s">
        <v>73</v>
      </c>
      <c r="J435" s="3">
        <v>30</v>
      </c>
      <c r="K435">
        <v>4.5999999999999996</v>
      </c>
      <c r="L435" t="b">
        <v>0</v>
      </c>
      <c r="M435" s="4">
        <v>0.97</v>
      </c>
      <c r="O435" s="3" t="s">
        <v>1046</v>
      </c>
      <c r="P435" t="s">
        <v>1025</v>
      </c>
      <c r="Q435" s="3">
        <v>1</v>
      </c>
      <c r="R435">
        <v>1</v>
      </c>
    </row>
    <row r="436" spans="1:18" x14ac:dyDescent="0.25">
      <c r="A436" t="s">
        <v>894</v>
      </c>
      <c r="B436" t="s">
        <v>895</v>
      </c>
      <c r="C436" t="s">
        <v>20</v>
      </c>
      <c r="D436">
        <v>27</v>
      </c>
      <c r="E436" t="s">
        <v>1047</v>
      </c>
      <c r="F436" t="s">
        <v>1048</v>
      </c>
      <c r="G436" t="s">
        <v>1035</v>
      </c>
      <c r="H436">
        <v>7</v>
      </c>
      <c r="I436" s="3" t="s">
        <v>34</v>
      </c>
      <c r="J436" s="3">
        <v>75</v>
      </c>
      <c r="K436">
        <v>2.8</v>
      </c>
      <c r="L436" t="b">
        <v>1</v>
      </c>
      <c r="M436" s="4">
        <v>0.92</v>
      </c>
      <c r="O436" s="3" t="s">
        <v>1045</v>
      </c>
      <c r="P436" t="s">
        <v>1032</v>
      </c>
      <c r="Q436" s="3">
        <v>7</v>
      </c>
      <c r="R436">
        <v>4</v>
      </c>
    </row>
    <row r="437" spans="1:18" x14ac:dyDescent="0.25">
      <c r="A437" t="s">
        <v>896</v>
      </c>
      <c r="B437" t="s">
        <v>897</v>
      </c>
      <c r="C437" t="s">
        <v>43</v>
      </c>
      <c r="D437">
        <v>34</v>
      </c>
      <c r="E437" t="s">
        <v>1026</v>
      </c>
      <c r="F437" t="s">
        <v>1027</v>
      </c>
      <c r="G437" t="s">
        <v>1054</v>
      </c>
      <c r="H437">
        <v>6</v>
      </c>
      <c r="I437" s="3">
        <v>50</v>
      </c>
      <c r="J437" s="3">
        <v>50</v>
      </c>
      <c r="K437">
        <v>5</v>
      </c>
      <c r="L437" t="b">
        <v>1</v>
      </c>
      <c r="M437" s="4">
        <v>0.92</v>
      </c>
      <c r="O437" s="3" t="s">
        <v>1024</v>
      </c>
      <c r="P437" t="s">
        <v>1032</v>
      </c>
      <c r="Q437" s="3">
        <v>8</v>
      </c>
      <c r="R437">
        <v>3</v>
      </c>
    </row>
    <row r="438" spans="1:18" x14ac:dyDescent="0.25">
      <c r="A438" t="s">
        <v>898</v>
      </c>
      <c r="B438" t="s">
        <v>899</v>
      </c>
      <c r="C438" t="s">
        <v>43</v>
      </c>
      <c r="D438">
        <v>24</v>
      </c>
      <c r="E438" t="s">
        <v>1055</v>
      </c>
      <c r="F438" t="s">
        <v>1056</v>
      </c>
      <c r="G438" t="s">
        <v>1050</v>
      </c>
      <c r="H438">
        <v>2</v>
      </c>
      <c r="I438" s="3">
        <v>75</v>
      </c>
      <c r="J438" s="3">
        <v>75</v>
      </c>
      <c r="K438">
        <v>4.7</v>
      </c>
      <c r="L438" t="s">
        <v>111</v>
      </c>
      <c r="M438" s="4">
        <v>0.68</v>
      </c>
      <c r="O438" s="3" t="s">
        <v>1046</v>
      </c>
      <c r="P438" t="s">
        <v>1025</v>
      </c>
      <c r="Q438" s="3">
        <v>1</v>
      </c>
      <c r="R438">
        <v>2</v>
      </c>
    </row>
    <row r="439" spans="1:18" x14ac:dyDescent="0.25">
      <c r="A439" t="s">
        <v>900</v>
      </c>
      <c r="B439" t="s">
        <v>901</v>
      </c>
      <c r="C439" t="s">
        <v>43</v>
      </c>
      <c r="D439">
        <v>57</v>
      </c>
      <c r="E439" t="s">
        <v>40</v>
      </c>
      <c r="F439" t="s">
        <v>1027</v>
      </c>
      <c r="G439" t="s">
        <v>1049</v>
      </c>
      <c r="H439">
        <v>13</v>
      </c>
      <c r="I439" s="3">
        <v>100</v>
      </c>
      <c r="J439" s="3">
        <v>100</v>
      </c>
      <c r="K439">
        <v>3.5</v>
      </c>
      <c r="L439" t="s">
        <v>111</v>
      </c>
      <c r="M439" s="4">
        <v>0.95</v>
      </c>
      <c r="O439" s="3" t="s">
        <v>1024</v>
      </c>
      <c r="P439" t="s">
        <v>1025</v>
      </c>
      <c r="Q439" s="3">
        <v>13</v>
      </c>
      <c r="R439">
        <v>3</v>
      </c>
    </row>
    <row r="440" spans="1:18" x14ac:dyDescent="0.25">
      <c r="A440" t="s">
        <v>902</v>
      </c>
      <c r="B440" t="s">
        <v>903</v>
      </c>
      <c r="C440" t="s">
        <v>43</v>
      </c>
      <c r="D440">
        <v>28</v>
      </c>
      <c r="E440" t="s">
        <v>1051</v>
      </c>
      <c r="F440" t="s">
        <v>1059</v>
      </c>
      <c r="G440" t="s">
        <v>1049</v>
      </c>
      <c r="H440">
        <v>7</v>
      </c>
      <c r="I440" s="3" t="s">
        <v>177</v>
      </c>
      <c r="J440" s="3">
        <v>100</v>
      </c>
      <c r="K440">
        <v>4.3</v>
      </c>
      <c r="L440" t="b">
        <v>0</v>
      </c>
      <c r="M440" s="4">
        <v>0.76</v>
      </c>
      <c r="O440" s="3" t="s">
        <v>1045</v>
      </c>
      <c r="P440" t="s">
        <v>1025</v>
      </c>
      <c r="Q440" s="3">
        <v>7</v>
      </c>
      <c r="R440">
        <v>12</v>
      </c>
    </row>
    <row r="441" spans="1:18" x14ac:dyDescent="0.25">
      <c r="A441" t="s">
        <v>904</v>
      </c>
      <c r="B441" t="s">
        <v>905</v>
      </c>
      <c r="C441" t="s">
        <v>20</v>
      </c>
      <c r="D441">
        <v>26</v>
      </c>
      <c r="E441" t="s">
        <v>1021</v>
      </c>
      <c r="F441" t="s">
        <v>1022</v>
      </c>
      <c r="G441" t="s">
        <v>1054</v>
      </c>
      <c r="H441">
        <v>7</v>
      </c>
      <c r="I441" s="3" t="s">
        <v>21</v>
      </c>
      <c r="J441" s="3">
        <v>100</v>
      </c>
      <c r="K441">
        <v>3.3</v>
      </c>
      <c r="L441" t="b">
        <v>1</v>
      </c>
      <c r="M441" s="4">
        <v>0.66</v>
      </c>
      <c r="O441" s="3" t="s">
        <v>1038</v>
      </c>
      <c r="P441" t="s">
        <v>1029</v>
      </c>
      <c r="Q441" s="3">
        <v>14</v>
      </c>
      <c r="R441">
        <v>9</v>
      </c>
    </row>
    <row r="442" spans="1:18" x14ac:dyDescent="0.25">
      <c r="A442" t="s">
        <v>906</v>
      </c>
      <c r="B442" t="s">
        <v>907</v>
      </c>
      <c r="C442" t="s">
        <v>43</v>
      </c>
      <c r="D442">
        <v>34</v>
      </c>
      <c r="E442" t="s">
        <v>1047</v>
      </c>
      <c r="F442" t="s">
        <v>1048</v>
      </c>
      <c r="G442" t="s">
        <v>1028</v>
      </c>
      <c r="H442">
        <v>15</v>
      </c>
      <c r="I442" s="3">
        <v>75</v>
      </c>
      <c r="J442" s="3">
        <v>75</v>
      </c>
      <c r="K442">
        <v>2.4</v>
      </c>
      <c r="L442" t="b">
        <v>0</v>
      </c>
      <c r="M442" s="4">
        <v>0.73</v>
      </c>
      <c r="O442" s="3" t="s">
        <v>1045</v>
      </c>
      <c r="P442" t="s">
        <v>1025</v>
      </c>
      <c r="Q442" s="3">
        <v>14</v>
      </c>
      <c r="R442">
        <v>8</v>
      </c>
    </row>
    <row r="443" spans="1:18" x14ac:dyDescent="0.25">
      <c r="A443" t="s">
        <v>908</v>
      </c>
      <c r="B443" t="s">
        <v>909</v>
      </c>
      <c r="C443" t="s">
        <v>43</v>
      </c>
      <c r="D443">
        <v>43</v>
      </c>
      <c r="E443" t="s">
        <v>1052</v>
      </c>
      <c r="F443" t="s">
        <v>1053</v>
      </c>
      <c r="G443" t="s">
        <v>30</v>
      </c>
      <c r="H443">
        <v>10</v>
      </c>
      <c r="I443" s="3" t="s">
        <v>262</v>
      </c>
      <c r="J443" s="3">
        <v>20</v>
      </c>
      <c r="K443">
        <v>2.8</v>
      </c>
      <c r="L443" t="b">
        <v>0</v>
      </c>
      <c r="M443" s="4">
        <v>0.99</v>
      </c>
      <c r="O443" s="3" t="s">
        <v>1046</v>
      </c>
      <c r="P443" t="s">
        <v>1032</v>
      </c>
      <c r="Q443" s="3">
        <v>4</v>
      </c>
      <c r="R443">
        <v>1</v>
      </c>
    </row>
    <row r="444" spans="1:18" x14ac:dyDescent="0.25">
      <c r="A444" t="s">
        <v>910</v>
      </c>
      <c r="B444" t="s">
        <v>911</v>
      </c>
      <c r="C444" t="s">
        <v>43</v>
      </c>
      <c r="D444">
        <v>31</v>
      </c>
      <c r="E444" t="s">
        <v>1069</v>
      </c>
      <c r="F444" t="s">
        <v>1070</v>
      </c>
      <c r="G444" t="s">
        <v>1031</v>
      </c>
      <c r="H444">
        <v>5</v>
      </c>
      <c r="J444" s="3">
        <v>52</v>
      </c>
      <c r="K444">
        <v>2.7</v>
      </c>
      <c r="L444" t="b">
        <v>1</v>
      </c>
      <c r="M444" s="2">
        <v>94</v>
      </c>
      <c r="O444" s="3" t="s">
        <v>1038</v>
      </c>
      <c r="P444" t="s">
        <v>1029</v>
      </c>
      <c r="Q444" s="3">
        <v>4</v>
      </c>
      <c r="R444">
        <v>1</v>
      </c>
    </row>
    <row r="445" spans="1:18" x14ac:dyDescent="0.25">
      <c r="A445" t="s">
        <v>912</v>
      </c>
      <c r="B445" t="s">
        <v>913</v>
      </c>
      <c r="C445" t="s">
        <v>20</v>
      </c>
      <c r="D445">
        <v>34</v>
      </c>
      <c r="E445" t="s">
        <v>1069</v>
      </c>
      <c r="F445" t="s">
        <v>1070</v>
      </c>
      <c r="G445" t="s">
        <v>1023</v>
      </c>
      <c r="H445">
        <v>10</v>
      </c>
      <c r="I445" s="3" t="s">
        <v>44</v>
      </c>
      <c r="J445" s="3">
        <v>50</v>
      </c>
      <c r="K445">
        <v>0</v>
      </c>
      <c r="L445" t="b">
        <v>0</v>
      </c>
      <c r="M445" s="2">
        <v>84</v>
      </c>
      <c r="O445" s="3" t="s">
        <v>1046</v>
      </c>
      <c r="P445" t="s">
        <v>1025</v>
      </c>
      <c r="Q445" s="3">
        <v>5</v>
      </c>
      <c r="R445">
        <v>1</v>
      </c>
    </row>
    <row r="446" spans="1:18" x14ac:dyDescent="0.25">
      <c r="A446" t="s">
        <v>914</v>
      </c>
      <c r="B446" t="s">
        <v>915</v>
      </c>
      <c r="C446" t="s">
        <v>20</v>
      </c>
      <c r="D446">
        <v>32</v>
      </c>
      <c r="E446" t="s">
        <v>1060</v>
      </c>
      <c r="F446" t="s">
        <v>1061</v>
      </c>
      <c r="G446" t="s">
        <v>1050</v>
      </c>
      <c r="H446">
        <v>10</v>
      </c>
      <c r="I446" s="3" t="s">
        <v>82</v>
      </c>
      <c r="J446" s="3">
        <v>20</v>
      </c>
      <c r="K446">
        <v>2.4</v>
      </c>
      <c r="L446" t="b">
        <v>1</v>
      </c>
      <c r="M446" s="4">
        <v>0.92</v>
      </c>
      <c r="O446" s="3" t="s">
        <v>1046</v>
      </c>
      <c r="P446" t="s">
        <v>1032</v>
      </c>
      <c r="Q446" s="3">
        <v>12</v>
      </c>
      <c r="R446">
        <v>4</v>
      </c>
    </row>
    <row r="447" spans="1:18" x14ac:dyDescent="0.25">
      <c r="A447" t="s">
        <v>916</v>
      </c>
      <c r="B447" t="s">
        <v>917</v>
      </c>
      <c r="C447" t="s">
        <v>43</v>
      </c>
      <c r="D447">
        <v>24</v>
      </c>
      <c r="E447" t="s">
        <v>1065</v>
      </c>
      <c r="F447" t="s">
        <v>1066</v>
      </c>
      <c r="G447" t="s">
        <v>1054</v>
      </c>
      <c r="H447">
        <v>6</v>
      </c>
      <c r="I447" s="3" t="s">
        <v>122</v>
      </c>
      <c r="J447" s="3">
        <v>75</v>
      </c>
      <c r="K447">
        <v>4.3</v>
      </c>
      <c r="L447" t="b">
        <v>1</v>
      </c>
      <c r="M447" s="2"/>
      <c r="O447" s="3" t="s">
        <v>1045</v>
      </c>
      <c r="P447" t="s">
        <v>1029</v>
      </c>
      <c r="Q447" s="3">
        <v>14</v>
      </c>
      <c r="R447">
        <v>4</v>
      </c>
    </row>
    <row r="448" spans="1:18" x14ac:dyDescent="0.25">
      <c r="A448" t="s">
        <v>918</v>
      </c>
      <c r="B448" t="s">
        <v>919</v>
      </c>
      <c r="C448" t="s">
        <v>43</v>
      </c>
      <c r="D448">
        <v>35</v>
      </c>
      <c r="E448" t="s">
        <v>47</v>
      </c>
      <c r="F448" t="s">
        <v>1027</v>
      </c>
      <c r="G448" t="s">
        <v>30</v>
      </c>
      <c r="H448">
        <v>8</v>
      </c>
      <c r="I448" s="3" t="s">
        <v>64</v>
      </c>
      <c r="J448" s="3">
        <v>50</v>
      </c>
      <c r="K448">
        <v>2.4</v>
      </c>
      <c r="L448" t="s">
        <v>111</v>
      </c>
      <c r="M448" s="2">
        <v>90</v>
      </c>
      <c r="O448" s="3" t="s">
        <v>1046</v>
      </c>
      <c r="P448" t="s">
        <v>1025</v>
      </c>
      <c r="Q448" s="3">
        <v>6</v>
      </c>
      <c r="R448">
        <v>5</v>
      </c>
    </row>
    <row r="449" spans="1:18" x14ac:dyDescent="0.25">
      <c r="A449" t="s">
        <v>920</v>
      </c>
      <c r="B449" t="s">
        <v>921</v>
      </c>
      <c r="C449" t="s">
        <v>20</v>
      </c>
      <c r="D449">
        <v>22</v>
      </c>
      <c r="E449" t="s">
        <v>1026</v>
      </c>
      <c r="F449" t="s">
        <v>1027</v>
      </c>
      <c r="G449" t="s">
        <v>1028</v>
      </c>
      <c r="H449">
        <v>4</v>
      </c>
      <c r="I449" s="3">
        <v>20</v>
      </c>
      <c r="J449" s="3">
        <v>20</v>
      </c>
      <c r="K449">
        <v>2.4</v>
      </c>
      <c r="L449" t="b">
        <v>0</v>
      </c>
      <c r="M449" s="4">
        <v>0.73</v>
      </c>
      <c r="O449" s="3" t="s">
        <v>1045</v>
      </c>
      <c r="P449" t="s">
        <v>1025</v>
      </c>
      <c r="Q449" s="3">
        <v>1</v>
      </c>
      <c r="R449">
        <v>1</v>
      </c>
    </row>
    <row r="450" spans="1:18" x14ac:dyDescent="0.25">
      <c r="A450" t="s">
        <v>922</v>
      </c>
      <c r="B450" t="s">
        <v>923</v>
      </c>
      <c r="C450" t="s">
        <v>20</v>
      </c>
      <c r="D450">
        <v>55</v>
      </c>
      <c r="E450" t="s">
        <v>1065</v>
      </c>
      <c r="F450" t="s">
        <v>1066</v>
      </c>
      <c r="G450" t="s">
        <v>30</v>
      </c>
      <c r="H450">
        <v>3</v>
      </c>
      <c r="I450" s="3">
        <v>100</v>
      </c>
      <c r="J450" s="3">
        <v>100</v>
      </c>
      <c r="K450">
        <v>2.4</v>
      </c>
      <c r="L450" t="b">
        <v>1</v>
      </c>
      <c r="M450" s="4">
        <v>0.73</v>
      </c>
      <c r="O450" s="3" t="s">
        <v>1038</v>
      </c>
      <c r="P450" t="s">
        <v>1025</v>
      </c>
      <c r="Q450" s="3">
        <v>1</v>
      </c>
      <c r="R450">
        <v>2</v>
      </c>
    </row>
    <row r="451" spans="1:18" x14ac:dyDescent="0.25">
      <c r="A451" t="s">
        <v>924</v>
      </c>
      <c r="B451" t="s">
        <v>925</v>
      </c>
      <c r="C451" t="s">
        <v>20</v>
      </c>
      <c r="D451">
        <v>54</v>
      </c>
      <c r="E451" t="s">
        <v>1047</v>
      </c>
      <c r="F451" t="s">
        <v>1048</v>
      </c>
      <c r="G451" t="s">
        <v>1035</v>
      </c>
      <c r="H451">
        <v>10</v>
      </c>
      <c r="I451" s="3">
        <v>30</v>
      </c>
      <c r="J451" s="3">
        <v>30</v>
      </c>
      <c r="K451">
        <v>2.9</v>
      </c>
      <c r="L451" t="b">
        <v>1</v>
      </c>
      <c r="M451" s="4">
        <v>0.78</v>
      </c>
      <c r="O451" s="3" t="s">
        <v>1045</v>
      </c>
      <c r="P451" t="s">
        <v>1029</v>
      </c>
      <c r="Q451" s="3">
        <v>3</v>
      </c>
      <c r="R451">
        <v>3</v>
      </c>
    </row>
    <row r="452" spans="1:18" x14ac:dyDescent="0.25">
      <c r="A452" t="s">
        <v>926</v>
      </c>
      <c r="B452" t="s">
        <v>927</v>
      </c>
      <c r="C452" t="s">
        <v>20</v>
      </c>
      <c r="D452">
        <v>36</v>
      </c>
      <c r="E452" t="s">
        <v>1036</v>
      </c>
      <c r="F452" t="s">
        <v>1037</v>
      </c>
      <c r="G452" t="s">
        <v>1050</v>
      </c>
      <c r="H452">
        <v>11</v>
      </c>
      <c r="I452" s="3" t="s">
        <v>31</v>
      </c>
      <c r="J452" s="3">
        <v>30</v>
      </c>
      <c r="K452">
        <v>0</v>
      </c>
      <c r="L452" t="b">
        <v>1</v>
      </c>
      <c r="M452" s="4">
        <v>0.63</v>
      </c>
      <c r="O452" s="3" t="s">
        <v>1038</v>
      </c>
      <c r="P452" t="s">
        <v>1032</v>
      </c>
      <c r="Q452" s="3">
        <v>9</v>
      </c>
      <c r="R452">
        <v>14</v>
      </c>
    </row>
    <row r="453" spans="1:18" x14ac:dyDescent="0.25">
      <c r="A453" t="s">
        <v>928</v>
      </c>
      <c r="B453" t="s">
        <v>929</v>
      </c>
      <c r="C453" t="s">
        <v>20</v>
      </c>
      <c r="D453">
        <v>36</v>
      </c>
      <c r="E453" t="s">
        <v>1036</v>
      </c>
      <c r="F453" t="s">
        <v>1037</v>
      </c>
      <c r="G453" t="s">
        <v>30</v>
      </c>
      <c r="H453">
        <v>17</v>
      </c>
      <c r="I453" s="3">
        <v>50</v>
      </c>
      <c r="J453" s="3">
        <v>50</v>
      </c>
      <c r="K453">
        <v>1.3</v>
      </c>
      <c r="L453" t="b">
        <v>0</v>
      </c>
      <c r="M453" s="4">
        <v>0.64</v>
      </c>
      <c r="O453" s="3" t="s">
        <v>1045</v>
      </c>
      <c r="P453" t="s">
        <v>1032</v>
      </c>
      <c r="Q453" s="3">
        <v>18</v>
      </c>
      <c r="R453">
        <v>7</v>
      </c>
    </row>
    <row r="454" spans="1:18" x14ac:dyDescent="0.25">
      <c r="A454" t="s">
        <v>930</v>
      </c>
      <c r="B454" t="s">
        <v>931</v>
      </c>
      <c r="C454" t="s">
        <v>20</v>
      </c>
      <c r="D454">
        <v>25</v>
      </c>
      <c r="E454" t="s">
        <v>1047</v>
      </c>
      <c r="F454" t="s">
        <v>1048</v>
      </c>
      <c r="G454" t="s">
        <v>1033</v>
      </c>
      <c r="H454">
        <v>1</v>
      </c>
      <c r="I454" s="3">
        <v>75</v>
      </c>
      <c r="J454" s="3">
        <v>75</v>
      </c>
      <c r="K454">
        <v>0</v>
      </c>
      <c r="L454" t="b">
        <v>1</v>
      </c>
      <c r="M454" s="2"/>
      <c r="O454" s="3" t="s">
        <v>1024</v>
      </c>
      <c r="P454" t="s">
        <v>1042</v>
      </c>
      <c r="Q454" s="3">
        <v>2</v>
      </c>
      <c r="R454">
        <v>3</v>
      </c>
    </row>
    <row r="455" spans="1:18" x14ac:dyDescent="0.25">
      <c r="A455" t="s">
        <v>932</v>
      </c>
      <c r="B455" t="s">
        <v>933</v>
      </c>
      <c r="C455" t="s">
        <v>43</v>
      </c>
      <c r="D455">
        <v>46</v>
      </c>
      <c r="E455" t="s">
        <v>1039</v>
      </c>
      <c r="F455" t="s">
        <v>1040</v>
      </c>
      <c r="G455" t="s">
        <v>30</v>
      </c>
      <c r="H455">
        <v>16</v>
      </c>
      <c r="I455" s="3">
        <v>20</v>
      </c>
      <c r="J455" s="3">
        <v>20</v>
      </c>
      <c r="K455">
        <v>4.8</v>
      </c>
      <c r="L455" t="b">
        <v>1</v>
      </c>
      <c r="M455" s="4">
        <v>0.86</v>
      </c>
      <c r="O455" s="3" t="s">
        <v>1024</v>
      </c>
      <c r="P455" t="s">
        <v>1025</v>
      </c>
      <c r="Q455" s="3">
        <v>12</v>
      </c>
      <c r="R455">
        <v>8</v>
      </c>
    </row>
    <row r="456" spans="1:18" x14ac:dyDescent="0.25">
      <c r="A456" t="s">
        <v>934</v>
      </c>
      <c r="B456" t="s">
        <v>1078</v>
      </c>
      <c r="C456" t="s">
        <v>43</v>
      </c>
      <c r="D456">
        <v>41</v>
      </c>
      <c r="E456" t="s">
        <v>1047</v>
      </c>
      <c r="F456" t="s">
        <v>1048</v>
      </c>
      <c r="G456" t="s">
        <v>1035</v>
      </c>
      <c r="H456">
        <v>11</v>
      </c>
      <c r="I456" s="3" t="s">
        <v>26</v>
      </c>
      <c r="J456" s="3">
        <v>40</v>
      </c>
      <c r="K456">
        <v>2.4</v>
      </c>
      <c r="L456" t="b">
        <v>0</v>
      </c>
      <c r="M456" s="2"/>
      <c r="O456" s="3" t="s">
        <v>1046</v>
      </c>
      <c r="P456" t="s">
        <v>1042</v>
      </c>
      <c r="Q456" s="3">
        <v>9</v>
      </c>
      <c r="R456">
        <v>2</v>
      </c>
    </row>
    <row r="457" spans="1:18" x14ac:dyDescent="0.25">
      <c r="A457" t="s">
        <v>935</v>
      </c>
      <c r="B457" t="s">
        <v>936</v>
      </c>
      <c r="C457" t="s">
        <v>20</v>
      </c>
      <c r="D457">
        <v>21</v>
      </c>
      <c r="E457" t="s">
        <v>1060</v>
      </c>
      <c r="F457" t="s">
        <v>1061</v>
      </c>
      <c r="G457" t="s">
        <v>1028</v>
      </c>
      <c r="H457">
        <v>3</v>
      </c>
      <c r="I457" s="3" t="s">
        <v>177</v>
      </c>
      <c r="J457" s="3">
        <v>100</v>
      </c>
      <c r="K457">
        <v>4.7</v>
      </c>
      <c r="L457" t="b">
        <v>0</v>
      </c>
      <c r="M457" s="4">
        <v>0.96</v>
      </c>
      <c r="O457" s="3" t="s">
        <v>1045</v>
      </c>
      <c r="P457" t="s">
        <v>1042</v>
      </c>
      <c r="Q457" s="3">
        <v>2</v>
      </c>
      <c r="R457">
        <v>1</v>
      </c>
    </row>
    <row r="458" spans="1:18" x14ac:dyDescent="0.25">
      <c r="A458" t="s">
        <v>937</v>
      </c>
      <c r="B458" t="s">
        <v>938</v>
      </c>
      <c r="C458" t="s">
        <v>43</v>
      </c>
      <c r="D458">
        <v>29</v>
      </c>
      <c r="E458" t="s">
        <v>40</v>
      </c>
      <c r="F458" t="s">
        <v>1027</v>
      </c>
      <c r="G458" t="s">
        <v>1031</v>
      </c>
      <c r="H458">
        <v>10</v>
      </c>
      <c r="I458" s="3" t="s">
        <v>122</v>
      </c>
      <c r="J458" s="3">
        <v>75</v>
      </c>
      <c r="K458">
        <v>2</v>
      </c>
      <c r="L458" t="b">
        <v>0</v>
      </c>
      <c r="M458" s="2"/>
      <c r="O458" s="3" t="s">
        <v>1045</v>
      </c>
      <c r="P458" t="s">
        <v>1032</v>
      </c>
      <c r="Q458" s="3">
        <v>4</v>
      </c>
      <c r="R458">
        <v>3</v>
      </c>
    </row>
    <row r="459" spans="1:18" x14ac:dyDescent="0.25">
      <c r="A459" t="s">
        <v>939</v>
      </c>
      <c r="B459" t="s">
        <v>940</v>
      </c>
      <c r="C459" t="s">
        <v>20</v>
      </c>
      <c r="D459">
        <v>44</v>
      </c>
      <c r="E459" t="s">
        <v>40</v>
      </c>
      <c r="F459" t="s">
        <v>1027</v>
      </c>
      <c r="G459" t="s">
        <v>1028</v>
      </c>
      <c r="H459">
        <v>3</v>
      </c>
      <c r="I459" s="3" t="s">
        <v>44</v>
      </c>
      <c r="J459" s="3">
        <v>50</v>
      </c>
      <c r="K459">
        <v>2.2000000000000002</v>
      </c>
      <c r="L459" t="b">
        <v>0</v>
      </c>
      <c r="M459" s="4">
        <v>0.77</v>
      </c>
      <c r="O459" s="3" t="s">
        <v>1038</v>
      </c>
      <c r="P459" t="s">
        <v>1029</v>
      </c>
      <c r="Q459" s="3">
        <v>4</v>
      </c>
      <c r="R459">
        <v>1</v>
      </c>
    </row>
    <row r="460" spans="1:18" x14ac:dyDescent="0.25">
      <c r="A460" t="s">
        <v>941</v>
      </c>
      <c r="B460" t="s">
        <v>942</v>
      </c>
      <c r="C460" t="s">
        <v>43</v>
      </c>
      <c r="D460">
        <v>40</v>
      </c>
      <c r="E460" t="s">
        <v>1062</v>
      </c>
      <c r="F460" t="s">
        <v>1027</v>
      </c>
      <c r="G460" t="s">
        <v>1035</v>
      </c>
      <c r="H460">
        <v>1</v>
      </c>
      <c r="I460" s="3">
        <v>100</v>
      </c>
      <c r="J460" s="3">
        <v>100</v>
      </c>
      <c r="K460">
        <v>2.1</v>
      </c>
      <c r="L460" t="b">
        <v>1</v>
      </c>
      <c r="M460" s="2"/>
      <c r="O460" s="3" t="s">
        <v>1046</v>
      </c>
      <c r="P460" t="s">
        <v>1029</v>
      </c>
      <c r="Q460" s="3">
        <v>4</v>
      </c>
      <c r="R460">
        <v>1</v>
      </c>
    </row>
    <row r="461" spans="1:18" x14ac:dyDescent="0.25">
      <c r="A461" t="s">
        <v>943</v>
      </c>
      <c r="B461" t="s">
        <v>944</v>
      </c>
      <c r="C461" t="s">
        <v>20</v>
      </c>
      <c r="D461">
        <v>27</v>
      </c>
      <c r="E461" t="s">
        <v>1065</v>
      </c>
      <c r="F461" t="s">
        <v>1066</v>
      </c>
      <c r="G461" t="s">
        <v>1041</v>
      </c>
      <c r="H461">
        <v>1</v>
      </c>
      <c r="I461" s="3">
        <v>30</v>
      </c>
      <c r="J461" s="3">
        <v>30</v>
      </c>
      <c r="K461">
        <v>1.7</v>
      </c>
      <c r="L461" t="b">
        <v>0</v>
      </c>
      <c r="M461" s="4">
        <v>0.65</v>
      </c>
      <c r="O461" s="3" t="s">
        <v>1045</v>
      </c>
      <c r="P461" t="s">
        <v>1032</v>
      </c>
      <c r="Q461" s="3">
        <v>5</v>
      </c>
      <c r="R461">
        <v>4</v>
      </c>
    </row>
    <row r="462" spans="1:18" x14ac:dyDescent="0.25">
      <c r="A462" t="s">
        <v>945</v>
      </c>
      <c r="B462" t="s">
        <v>946</v>
      </c>
      <c r="C462" t="s">
        <v>43</v>
      </c>
      <c r="D462">
        <v>53</v>
      </c>
      <c r="E462" t="s">
        <v>1063</v>
      </c>
      <c r="F462" t="s">
        <v>1064</v>
      </c>
      <c r="G462" t="s">
        <v>1028</v>
      </c>
      <c r="H462">
        <v>35</v>
      </c>
      <c r="J462" s="3">
        <v>52</v>
      </c>
      <c r="K462">
        <v>5</v>
      </c>
      <c r="L462" t="b">
        <v>1</v>
      </c>
      <c r="M462" s="4">
        <v>0.62</v>
      </c>
      <c r="O462" s="3" t="s">
        <v>1046</v>
      </c>
      <c r="P462" t="s">
        <v>1029</v>
      </c>
      <c r="Q462" s="3">
        <v>14</v>
      </c>
      <c r="R462">
        <v>9</v>
      </c>
    </row>
    <row r="463" spans="1:18" x14ac:dyDescent="0.25">
      <c r="A463" t="s">
        <v>947</v>
      </c>
      <c r="B463" t="s">
        <v>1079</v>
      </c>
      <c r="C463" t="s">
        <v>43</v>
      </c>
      <c r="D463">
        <v>20</v>
      </c>
      <c r="E463" t="s">
        <v>1043</v>
      </c>
      <c r="F463" t="s">
        <v>1044</v>
      </c>
      <c r="G463" t="s">
        <v>1041</v>
      </c>
      <c r="H463">
        <v>1</v>
      </c>
      <c r="I463" s="3">
        <v>50</v>
      </c>
      <c r="J463" s="3">
        <v>50</v>
      </c>
      <c r="K463">
        <v>2.9</v>
      </c>
      <c r="L463" t="s">
        <v>111</v>
      </c>
      <c r="M463" s="4">
        <v>0.81</v>
      </c>
      <c r="O463" s="3" t="s">
        <v>1024</v>
      </c>
      <c r="P463" t="s">
        <v>1042</v>
      </c>
      <c r="Q463" s="3">
        <v>1</v>
      </c>
      <c r="R463">
        <v>1</v>
      </c>
    </row>
    <row r="464" spans="1:18" x14ac:dyDescent="0.25">
      <c r="A464" t="s">
        <v>948</v>
      </c>
      <c r="B464" t="s">
        <v>949</v>
      </c>
      <c r="C464" t="s">
        <v>20</v>
      </c>
      <c r="D464">
        <v>41</v>
      </c>
      <c r="E464" t="s">
        <v>1052</v>
      </c>
      <c r="F464" t="s">
        <v>1053</v>
      </c>
      <c r="G464" t="s">
        <v>1054</v>
      </c>
      <c r="H464">
        <v>12</v>
      </c>
      <c r="I464" s="3" t="s">
        <v>44</v>
      </c>
      <c r="J464" s="3">
        <v>50</v>
      </c>
      <c r="K464">
        <v>4.0999999999999996</v>
      </c>
      <c r="L464" t="b">
        <v>1</v>
      </c>
      <c r="M464" s="4">
        <v>0.62</v>
      </c>
      <c r="O464" s="3" t="s">
        <v>1045</v>
      </c>
      <c r="P464" t="s">
        <v>1025</v>
      </c>
      <c r="Q464" s="3">
        <v>7</v>
      </c>
      <c r="R464">
        <v>4</v>
      </c>
    </row>
    <row r="465" spans="1:18" x14ac:dyDescent="0.25">
      <c r="A465" t="s">
        <v>950</v>
      </c>
      <c r="B465" t="s">
        <v>951</v>
      </c>
      <c r="C465" t="s">
        <v>43</v>
      </c>
      <c r="D465">
        <v>26</v>
      </c>
      <c r="E465" t="s">
        <v>1071</v>
      </c>
      <c r="F465" t="s">
        <v>1048</v>
      </c>
      <c r="G465" t="s">
        <v>1033</v>
      </c>
      <c r="H465">
        <v>8</v>
      </c>
      <c r="I465" s="3">
        <v>40</v>
      </c>
      <c r="J465" s="3">
        <v>40</v>
      </c>
      <c r="K465">
        <v>4.9000000000000004</v>
      </c>
      <c r="L465" t="b">
        <v>0</v>
      </c>
      <c r="M465" s="4">
        <v>0.87</v>
      </c>
      <c r="O465" s="3" t="s">
        <v>1045</v>
      </c>
      <c r="P465" t="s">
        <v>1032</v>
      </c>
      <c r="Q465" s="3">
        <v>9</v>
      </c>
      <c r="R465">
        <v>4</v>
      </c>
    </row>
    <row r="466" spans="1:18" x14ac:dyDescent="0.25">
      <c r="A466" t="s">
        <v>952</v>
      </c>
      <c r="B466" t="s">
        <v>953</v>
      </c>
      <c r="C466" t="s">
        <v>20</v>
      </c>
      <c r="D466">
        <v>49</v>
      </c>
      <c r="E466" t="s">
        <v>1057</v>
      </c>
      <c r="F466" t="s">
        <v>1058</v>
      </c>
      <c r="G466" t="s">
        <v>1035</v>
      </c>
      <c r="H466">
        <v>13</v>
      </c>
      <c r="I466" s="3" t="s">
        <v>177</v>
      </c>
      <c r="J466" s="3">
        <v>100</v>
      </c>
      <c r="K466">
        <v>2.4</v>
      </c>
      <c r="L466" t="b">
        <v>0</v>
      </c>
      <c r="M466" s="2"/>
      <c r="O466" s="3" t="s">
        <v>1046</v>
      </c>
      <c r="P466" t="s">
        <v>1025</v>
      </c>
      <c r="Q466" s="3">
        <v>6</v>
      </c>
      <c r="R466">
        <v>2</v>
      </c>
    </row>
    <row r="467" spans="1:18" x14ac:dyDescent="0.25">
      <c r="A467" t="s">
        <v>954</v>
      </c>
      <c r="B467" t="s">
        <v>955</v>
      </c>
      <c r="C467" t="s">
        <v>20</v>
      </c>
      <c r="D467">
        <v>20</v>
      </c>
      <c r="E467" t="s">
        <v>1065</v>
      </c>
      <c r="F467" t="s">
        <v>1066</v>
      </c>
      <c r="G467" t="s">
        <v>1041</v>
      </c>
      <c r="H467">
        <v>0</v>
      </c>
      <c r="I467" s="3" t="s">
        <v>73</v>
      </c>
      <c r="J467" s="3">
        <v>30</v>
      </c>
      <c r="K467">
        <v>0</v>
      </c>
      <c r="L467" t="b">
        <v>1</v>
      </c>
      <c r="M467" s="2">
        <v>76</v>
      </c>
      <c r="O467" s="3" t="s">
        <v>1045</v>
      </c>
      <c r="P467" t="s">
        <v>1029</v>
      </c>
      <c r="Q467" s="3">
        <v>5</v>
      </c>
      <c r="R467">
        <v>3</v>
      </c>
    </row>
    <row r="468" spans="1:18" x14ac:dyDescent="0.25">
      <c r="A468" t="s">
        <v>956</v>
      </c>
      <c r="B468" t="s">
        <v>957</v>
      </c>
      <c r="C468" t="s">
        <v>20</v>
      </c>
      <c r="D468">
        <v>39</v>
      </c>
      <c r="E468" t="s">
        <v>1069</v>
      </c>
      <c r="F468" t="s">
        <v>1070</v>
      </c>
      <c r="G468" t="s">
        <v>1023</v>
      </c>
      <c r="H468">
        <v>11</v>
      </c>
      <c r="I468" s="3">
        <v>100</v>
      </c>
      <c r="J468" s="3">
        <v>100</v>
      </c>
      <c r="K468">
        <v>2.8</v>
      </c>
      <c r="L468" t="b">
        <v>0</v>
      </c>
      <c r="M468" s="2">
        <v>70</v>
      </c>
      <c r="O468" s="3" t="s">
        <v>1046</v>
      </c>
      <c r="P468" t="s">
        <v>1025</v>
      </c>
      <c r="Q468" s="3">
        <v>9</v>
      </c>
      <c r="R468">
        <v>10</v>
      </c>
    </row>
    <row r="469" spans="1:18" x14ac:dyDescent="0.25">
      <c r="A469" t="s">
        <v>958</v>
      </c>
      <c r="B469" t="s">
        <v>959</v>
      </c>
      <c r="C469" t="s">
        <v>20</v>
      </c>
      <c r="D469">
        <v>41</v>
      </c>
      <c r="E469" t="s">
        <v>1069</v>
      </c>
      <c r="F469" t="s">
        <v>1070</v>
      </c>
      <c r="G469" t="s">
        <v>1035</v>
      </c>
      <c r="H469">
        <v>19</v>
      </c>
      <c r="I469" s="3">
        <v>100</v>
      </c>
      <c r="J469" s="3">
        <v>100</v>
      </c>
      <c r="K469">
        <v>3.8</v>
      </c>
      <c r="L469" t="b">
        <v>1</v>
      </c>
      <c r="M469" s="4">
        <v>0.71</v>
      </c>
      <c r="O469" s="3" t="s">
        <v>1045</v>
      </c>
      <c r="P469" t="s">
        <v>1029</v>
      </c>
      <c r="Q469" s="3">
        <v>16</v>
      </c>
      <c r="R469">
        <v>5</v>
      </c>
    </row>
    <row r="470" spans="1:18" x14ac:dyDescent="0.25">
      <c r="A470" t="s">
        <v>960</v>
      </c>
      <c r="B470" t="s">
        <v>961</v>
      </c>
      <c r="C470" t="s">
        <v>43</v>
      </c>
      <c r="D470">
        <v>59</v>
      </c>
      <c r="E470" t="s">
        <v>1062</v>
      </c>
      <c r="F470" t="s">
        <v>1027</v>
      </c>
      <c r="G470" t="s">
        <v>1028</v>
      </c>
      <c r="H470">
        <v>30</v>
      </c>
      <c r="I470" s="3" t="s">
        <v>73</v>
      </c>
      <c r="J470" s="3">
        <v>30</v>
      </c>
      <c r="K470">
        <v>4.3</v>
      </c>
      <c r="L470" t="b">
        <v>1</v>
      </c>
      <c r="M470" s="4">
        <v>0.83</v>
      </c>
      <c r="O470" s="3" t="s">
        <v>1038</v>
      </c>
      <c r="P470" t="s">
        <v>1029</v>
      </c>
      <c r="Q470" s="3">
        <v>11</v>
      </c>
      <c r="R470">
        <v>3</v>
      </c>
    </row>
    <row r="471" spans="1:18" x14ac:dyDescent="0.25">
      <c r="A471" t="s">
        <v>962</v>
      </c>
      <c r="B471" t="s">
        <v>963</v>
      </c>
      <c r="C471" t="s">
        <v>20</v>
      </c>
      <c r="D471">
        <v>45</v>
      </c>
      <c r="E471" t="s">
        <v>1026</v>
      </c>
      <c r="F471" t="s">
        <v>1027</v>
      </c>
      <c r="G471" t="s">
        <v>1023</v>
      </c>
      <c r="H471">
        <v>8</v>
      </c>
      <c r="I471" s="3">
        <v>40</v>
      </c>
      <c r="J471" s="3">
        <v>40</v>
      </c>
      <c r="K471">
        <v>0</v>
      </c>
      <c r="L471" t="b">
        <v>0</v>
      </c>
      <c r="M471" s="2">
        <v>78</v>
      </c>
      <c r="O471" s="3" t="s">
        <v>1046</v>
      </c>
      <c r="P471" t="s">
        <v>1042</v>
      </c>
      <c r="Q471" s="3">
        <v>7</v>
      </c>
      <c r="R471">
        <v>9</v>
      </c>
    </row>
    <row r="472" spans="1:18" x14ac:dyDescent="0.25">
      <c r="A472" t="s">
        <v>964</v>
      </c>
      <c r="B472" t="s">
        <v>965</v>
      </c>
      <c r="C472" t="s">
        <v>43</v>
      </c>
      <c r="D472">
        <v>22</v>
      </c>
      <c r="E472" t="s">
        <v>1039</v>
      </c>
      <c r="F472" t="s">
        <v>1040</v>
      </c>
      <c r="G472" t="s">
        <v>1050</v>
      </c>
      <c r="H472">
        <v>0</v>
      </c>
      <c r="I472" s="3">
        <v>40</v>
      </c>
      <c r="J472" s="3">
        <v>40</v>
      </c>
      <c r="K472">
        <v>1.3</v>
      </c>
      <c r="L472" t="b">
        <v>1</v>
      </c>
      <c r="M472" s="4">
        <v>0.78</v>
      </c>
      <c r="O472" s="3" t="s">
        <v>1045</v>
      </c>
      <c r="P472" t="s">
        <v>1029</v>
      </c>
      <c r="Q472" s="3">
        <v>2</v>
      </c>
      <c r="R472">
        <v>1</v>
      </c>
    </row>
    <row r="473" spans="1:18" x14ac:dyDescent="0.25">
      <c r="A473" t="s">
        <v>966</v>
      </c>
      <c r="B473" t="s">
        <v>967</v>
      </c>
      <c r="C473" t="s">
        <v>20</v>
      </c>
      <c r="D473">
        <v>48</v>
      </c>
      <c r="E473" t="s">
        <v>1055</v>
      </c>
      <c r="F473" t="s">
        <v>1056</v>
      </c>
      <c r="G473" t="s">
        <v>1028</v>
      </c>
      <c r="H473">
        <v>7</v>
      </c>
      <c r="I473" s="3">
        <v>50</v>
      </c>
      <c r="J473" s="3">
        <v>50</v>
      </c>
      <c r="K473">
        <v>4.7</v>
      </c>
      <c r="L473" t="b">
        <v>1</v>
      </c>
      <c r="M473" s="4">
        <v>0.6</v>
      </c>
      <c r="O473" s="3" t="s">
        <v>1024</v>
      </c>
      <c r="P473" t="s">
        <v>1042</v>
      </c>
      <c r="Q473" s="3">
        <v>13</v>
      </c>
      <c r="R473">
        <v>10</v>
      </c>
    </row>
    <row r="474" spans="1:18" x14ac:dyDescent="0.25">
      <c r="A474" t="s">
        <v>968</v>
      </c>
      <c r="B474" t="s">
        <v>969</v>
      </c>
      <c r="C474" t="s">
        <v>43</v>
      </c>
      <c r="D474">
        <v>36</v>
      </c>
      <c r="E474" t="s">
        <v>1063</v>
      </c>
      <c r="F474" t="s">
        <v>1064</v>
      </c>
      <c r="G474" t="s">
        <v>1023</v>
      </c>
      <c r="H474">
        <v>11</v>
      </c>
      <c r="I474" s="3" t="s">
        <v>26</v>
      </c>
      <c r="J474" s="3">
        <v>40</v>
      </c>
      <c r="K474">
        <v>1.3</v>
      </c>
      <c r="L474" t="b">
        <v>1</v>
      </c>
      <c r="M474" s="2"/>
      <c r="O474" s="3" t="s">
        <v>1045</v>
      </c>
      <c r="P474" t="s">
        <v>1042</v>
      </c>
      <c r="Q474" s="3">
        <v>15</v>
      </c>
      <c r="R474">
        <v>4</v>
      </c>
    </row>
    <row r="475" spans="1:18" x14ac:dyDescent="0.25">
      <c r="A475" t="s">
        <v>970</v>
      </c>
      <c r="B475" t="s">
        <v>971</v>
      </c>
      <c r="C475" t="s">
        <v>20</v>
      </c>
      <c r="D475">
        <v>57</v>
      </c>
      <c r="E475" t="s">
        <v>1069</v>
      </c>
      <c r="F475" t="s">
        <v>1070</v>
      </c>
      <c r="G475" t="s">
        <v>1023</v>
      </c>
      <c r="H475">
        <v>10</v>
      </c>
      <c r="I475" s="3">
        <v>75</v>
      </c>
      <c r="J475" s="3">
        <v>75</v>
      </c>
      <c r="K475">
        <v>4.8</v>
      </c>
      <c r="L475" t="b">
        <v>1</v>
      </c>
      <c r="M475" s="2"/>
      <c r="O475" s="3" t="s">
        <v>1024</v>
      </c>
      <c r="P475" t="s">
        <v>1042</v>
      </c>
      <c r="Q475" s="3">
        <v>1</v>
      </c>
      <c r="R475">
        <v>2</v>
      </c>
    </row>
    <row r="476" spans="1:18" x14ac:dyDescent="0.25">
      <c r="A476" t="s">
        <v>972</v>
      </c>
      <c r="B476" t="s">
        <v>973</v>
      </c>
      <c r="C476" t="s">
        <v>43</v>
      </c>
      <c r="D476">
        <v>42</v>
      </c>
      <c r="E476" t="s">
        <v>40</v>
      </c>
      <c r="F476" t="s">
        <v>1027</v>
      </c>
      <c r="G476" t="s">
        <v>1049</v>
      </c>
      <c r="H476">
        <v>14</v>
      </c>
      <c r="I476" s="3" t="s">
        <v>31</v>
      </c>
      <c r="J476" s="3">
        <v>30</v>
      </c>
      <c r="K476">
        <v>1.3</v>
      </c>
      <c r="L476" t="b">
        <v>0</v>
      </c>
      <c r="M476" s="4">
        <v>0.94</v>
      </c>
      <c r="O476" s="3" t="s">
        <v>1024</v>
      </c>
      <c r="P476" t="s">
        <v>1032</v>
      </c>
      <c r="Q476" s="3">
        <v>6</v>
      </c>
      <c r="R476">
        <v>1</v>
      </c>
    </row>
    <row r="477" spans="1:18" x14ac:dyDescent="0.25">
      <c r="A477" t="s">
        <v>974</v>
      </c>
      <c r="B477" t="s">
        <v>975</v>
      </c>
      <c r="C477" t="s">
        <v>43</v>
      </c>
      <c r="D477">
        <v>31</v>
      </c>
      <c r="E477" t="s">
        <v>1039</v>
      </c>
      <c r="F477" t="s">
        <v>1040</v>
      </c>
      <c r="G477" t="s">
        <v>1050</v>
      </c>
      <c r="H477">
        <v>11</v>
      </c>
      <c r="I477" s="3" t="s">
        <v>44</v>
      </c>
      <c r="J477" s="3">
        <v>50</v>
      </c>
      <c r="K477">
        <v>4.3</v>
      </c>
      <c r="L477" t="b">
        <v>0</v>
      </c>
      <c r="M477" s="2">
        <v>62</v>
      </c>
      <c r="O477" s="3" t="s">
        <v>1038</v>
      </c>
      <c r="P477" t="s">
        <v>1032</v>
      </c>
      <c r="Q477" s="3">
        <v>7</v>
      </c>
      <c r="R477">
        <v>14</v>
      </c>
    </row>
    <row r="478" spans="1:18" x14ac:dyDescent="0.25">
      <c r="A478" t="s">
        <v>976</v>
      </c>
      <c r="B478" t="s">
        <v>977</v>
      </c>
      <c r="C478" t="s">
        <v>43</v>
      </c>
      <c r="D478">
        <v>52</v>
      </c>
      <c r="E478" t="s">
        <v>1072</v>
      </c>
      <c r="F478" t="s">
        <v>1048</v>
      </c>
      <c r="G478" t="s">
        <v>1050</v>
      </c>
      <c r="H478">
        <v>31</v>
      </c>
      <c r="I478" s="3">
        <v>30</v>
      </c>
      <c r="J478" s="3">
        <v>30</v>
      </c>
      <c r="K478">
        <v>2.4</v>
      </c>
      <c r="L478" t="b">
        <v>1</v>
      </c>
      <c r="M478" s="2"/>
      <c r="O478" s="3" t="s">
        <v>1046</v>
      </c>
      <c r="P478" t="s">
        <v>1029</v>
      </c>
      <c r="Q478" s="3">
        <v>14</v>
      </c>
      <c r="R478">
        <v>3</v>
      </c>
    </row>
    <row r="479" spans="1:18" x14ac:dyDescent="0.25">
      <c r="A479" t="s">
        <v>978</v>
      </c>
      <c r="B479" t="s">
        <v>979</v>
      </c>
      <c r="C479" t="s">
        <v>43</v>
      </c>
      <c r="D479">
        <v>56</v>
      </c>
      <c r="E479" t="s">
        <v>1036</v>
      </c>
      <c r="F479" t="s">
        <v>1037</v>
      </c>
      <c r="G479" t="s">
        <v>1054</v>
      </c>
      <c r="H479">
        <v>16</v>
      </c>
      <c r="I479" s="3" t="s">
        <v>73</v>
      </c>
      <c r="J479" s="3">
        <v>30</v>
      </c>
      <c r="K479">
        <v>0</v>
      </c>
      <c r="L479" t="b">
        <v>1</v>
      </c>
      <c r="M479" s="2"/>
      <c r="O479" s="3" t="s">
        <v>1045</v>
      </c>
      <c r="P479" t="s">
        <v>1042</v>
      </c>
      <c r="Q479" s="3">
        <v>12</v>
      </c>
      <c r="R479">
        <v>10</v>
      </c>
    </row>
    <row r="480" spans="1:18" x14ac:dyDescent="0.25">
      <c r="A480" t="s">
        <v>980</v>
      </c>
      <c r="B480" t="s">
        <v>981</v>
      </c>
      <c r="C480" t="s">
        <v>20</v>
      </c>
      <c r="D480">
        <v>24</v>
      </c>
      <c r="E480" t="s">
        <v>1036</v>
      </c>
      <c r="F480" t="s">
        <v>1037</v>
      </c>
      <c r="G480" t="s">
        <v>1054</v>
      </c>
      <c r="H480">
        <v>6</v>
      </c>
      <c r="I480" s="3">
        <v>30</v>
      </c>
      <c r="J480" s="3">
        <v>30</v>
      </c>
      <c r="K480">
        <v>0</v>
      </c>
      <c r="L480" t="b">
        <v>1</v>
      </c>
      <c r="M480" s="4">
        <v>0.84</v>
      </c>
      <c r="O480" s="3" t="s">
        <v>1038</v>
      </c>
      <c r="P480" t="s">
        <v>1032</v>
      </c>
      <c r="Q480" s="3">
        <v>6</v>
      </c>
      <c r="R480">
        <v>4</v>
      </c>
    </row>
    <row r="481" spans="1:18" x14ac:dyDescent="0.25">
      <c r="A481" t="s">
        <v>982</v>
      </c>
      <c r="B481" t="s">
        <v>983</v>
      </c>
      <c r="C481" t="s">
        <v>43</v>
      </c>
      <c r="D481">
        <v>48</v>
      </c>
      <c r="E481" t="s">
        <v>1062</v>
      </c>
      <c r="F481" t="s">
        <v>1027</v>
      </c>
      <c r="G481" t="s">
        <v>1054</v>
      </c>
      <c r="H481">
        <v>21</v>
      </c>
      <c r="I481" s="3">
        <v>75</v>
      </c>
      <c r="J481" s="3">
        <v>75</v>
      </c>
      <c r="K481">
        <v>2.7</v>
      </c>
      <c r="L481" t="b">
        <v>1</v>
      </c>
      <c r="M481" s="2"/>
      <c r="O481" s="3" t="s">
        <v>1045</v>
      </c>
      <c r="P481" t="s">
        <v>1042</v>
      </c>
      <c r="Q481" s="3">
        <v>17</v>
      </c>
      <c r="R481">
        <v>8</v>
      </c>
    </row>
    <row r="482" spans="1:18" x14ac:dyDescent="0.25">
      <c r="A482" t="s">
        <v>984</v>
      </c>
      <c r="B482" t="s">
        <v>985</v>
      </c>
      <c r="C482" t="s">
        <v>43</v>
      </c>
      <c r="D482">
        <v>59</v>
      </c>
      <c r="E482" t="s">
        <v>1063</v>
      </c>
      <c r="F482" t="s">
        <v>1064</v>
      </c>
      <c r="G482" t="s">
        <v>1050</v>
      </c>
      <c r="H482">
        <v>13</v>
      </c>
      <c r="I482" s="3">
        <v>40</v>
      </c>
      <c r="J482" s="3">
        <v>40</v>
      </c>
      <c r="K482">
        <v>2.4</v>
      </c>
      <c r="L482" t="s">
        <v>111</v>
      </c>
      <c r="M482" s="2">
        <v>65</v>
      </c>
      <c r="O482" s="3" t="s">
        <v>1024</v>
      </c>
      <c r="P482" t="s">
        <v>1025</v>
      </c>
      <c r="Q482" s="3">
        <v>13</v>
      </c>
      <c r="R482">
        <v>4</v>
      </c>
    </row>
    <row r="483" spans="1:18" x14ac:dyDescent="0.25">
      <c r="A483" t="s">
        <v>986</v>
      </c>
      <c r="B483" t="s">
        <v>987</v>
      </c>
      <c r="C483" t="s">
        <v>43</v>
      </c>
      <c r="D483">
        <v>41</v>
      </c>
      <c r="E483" t="s">
        <v>47</v>
      </c>
      <c r="F483" t="s">
        <v>1027</v>
      </c>
      <c r="G483" t="s">
        <v>1033</v>
      </c>
      <c r="H483">
        <v>10</v>
      </c>
      <c r="I483" s="3">
        <v>40</v>
      </c>
      <c r="J483" s="3">
        <v>40</v>
      </c>
      <c r="K483">
        <v>1.9</v>
      </c>
      <c r="L483" t="b">
        <v>1</v>
      </c>
      <c r="M483" s="4">
        <v>0.94</v>
      </c>
      <c r="O483" s="3" t="s">
        <v>1046</v>
      </c>
      <c r="P483" t="s">
        <v>1025</v>
      </c>
      <c r="Q483" s="3">
        <v>4</v>
      </c>
      <c r="R483">
        <v>3</v>
      </c>
    </row>
    <row r="484" spans="1:18" x14ac:dyDescent="0.25">
      <c r="A484" t="s">
        <v>988</v>
      </c>
      <c r="B484" t="s">
        <v>989</v>
      </c>
      <c r="C484" t="s">
        <v>20</v>
      </c>
      <c r="D484">
        <v>41</v>
      </c>
      <c r="E484" t="s">
        <v>1036</v>
      </c>
      <c r="F484" t="s">
        <v>1037</v>
      </c>
      <c r="G484" t="s">
        <v>1028</v>
      </c>
      <c r="H484">
        <v>11</v>
      </c>
      <c r="I484" s="3" t="s">
        <v>82</v>
      </c>
      <c r="J484" s="3">
        <v>20</v>
      </c>
      <c r="K484">
        <v>3.6</v>
      </c>
      <c r="L484" t="s">
        <v>111</v>
      </c>
      <c r="M484" s="4">
        <v>0.69</v>
      </c>
      <c r="O484" s="3" t="s">
        <v>1045</v>
      </c>
      <c r="P484" t="s">
        <v>1025</v>
      </c>
      <c r="Q484" s="3">
        <v>15</v>
      </c>
      <c r="R484">
        <v>6</v>
      </c>
    </row>
    <row r="485" spans="1:18" x14ac:dyDescent="0.25">
      <c r="A485" t="s">
        <v>990</v>
      </c>
      <c r="B485" t="s">
        <v>991</v>
      </c>
      <c r="C485" t="s">
        <v>43</v>
      </c>
      <c r="D485">
        <v>25</v>
      </c>
      <c r="E485" t="s">
        <v>1036</v>
      </c>
      <c r="F485" t="s">
        <v>1037</v>
      </c>
      <c r="G485" t="s">
        <v>1028</v>
      </c>
      <c r="H485">
        <v>0</v>
      </c>
      <c r="I485" s="3">
        <v>50</v>
      </c>
      <c r="J485" s="3">
        <v>50</v>
      </c>
      <c r="K485">
        <v>2.9</v>
      </c>
      <c r="L485" t="b">
        <v>1</v>
      </c>
      <c r="M485" s="4">
        <v>0.65</v>
      </c>
      <c r="O485" s="3" t="s">
        <v>1045</v>
      </c>
      <c r="P485" t="s">
        <v>1029</v>
      </c>
      <c r="Q485" s="3">
        <v>2</v>
      </c>
      <c r="R485">
        <v>1</v>
      </c>
    </row>
    <row r="486" spans="1:18" x14ac:dyDescent="0.25">
      <c r="A486" t="s">
        <v>992</v>
      </c>
      <c r="B486" t="s">
        <v>993</v>
      </c>
      <c r="C486" t="s">
        <v>43</v>
      </c>
      <c r="D486">
        <v>31</v>
      </c>
      <c r="E486" t="s">
        <v>1065</v>
      </c>
      <c r="F486" t="s">
        <v>1066</v>
      </c>
      <c r="G486" t="s">
        <v>1028</v>
      </c>
      <c r="H486">
        <v>2</v>
      </c>
      <c r="I486" s="3" t="s">
        <v>122</v>
      </c>
      <c r="J486" s="3">
        <v>75</v>
      </c>
      <c r="K486">
        <v>2.8</v>
      </c>
      <c r="L486" t="b">
        <v>0</v>
      </c>
      <c r="M486" s="4">
        <v>0.6</v>
      </c>
      <c r="O486" s="3" t="s">
        <v>1024</v>
      </c>
      <c r="P486" t="s">
        <v>1042</v>
      </c>
      <c r="Q486" s="3">
        <v>5</v>
      </c>
      <c r="R486">
        <v>1</v>
      </c>
    </row>
    <row r="487" spans="1:18" x14ac:dyDescent="0.25">
      <c r="A487" t="s">
        <v>994</v>
      </c>
      <c r="B487" t="s">
        <v>995</v>
      </c>
      <c r="C487" t="s">
        <v>43</v>
      </c>
      <c r="D487">
        <v>40</v>
      </c>
      <c r="E487" t="s">
        <v>1043</v>
      </c>
      <c r="F487" t="s">
        <v>1044</v>
      </c>
      <c r="G487" t="s">
        <v>1054</v>
      </c>
      <c r="H487">
        <v>12</v>
      </c>
      <c r="I487" s="3">
        <v>75</v>
      </c>
      <c r="J487" s="3">
        <v>75</v>
      </c>
      <c r="K487">
        <v>2.6</v>
      </c>
      <c r="L487" t="b">
        <v>0</v>
      </c>
      <c r="M487" s="2"/>
      <c r="O487" s="3" t="s">
        <v>1045</v>
      </c>
      <c r="P487" t="s">
        <v>1025</v>
      </c>
      <c r="Q487" s="3">
        <v>13</v>
      </c>
      <c r="R487">
        <v>13</v>
      </c>
    </row>
    <row r="488" spans="1:18" x14ac:dyDescent="0.25">
      <c r="A488" t="s">
        <v>996</v>
      </c>
      <c r="B488" t="s">
        <v>621</v>
      </c>
      <c r="C488" t="s">
        <v>20</v>
      </c>
      <c r="D488">
        <v>48</v>
      </c>
      <c r="E488" t="s">
        <v>1060</v>
      </c>
      <c r="F488" t="s">
        <v>1061</v>
      </c>
      <c r="G488" t="s">
        <v>1023</v>
      </c>
      <c r="H488">
        <v>13</v>
      </c>
      <c r="I488" s="3" t="s">
        <v>177</v>
      </c>
      <c r="J488" s="3">
        <v>100</v>
      </c>
      <c r="K488">
        <v>2.7</v>
      </c>
      <c r="L488" t="b">
        <v>0</v>
      </c>
      <c r="M488" s="4">
        <v>0.62</v>
      </c>
      <c r="O488" s="3" t="s">
        <v>1045</v>
      </c>
      <c r="P488" t="s">
        <v>1032</v>
      </c>
      <c r="Q488" s="3">
        <v>8</v>
      </c>
      <c r="R488">
        <v>4</v>
      </c>
    </row>
    <row r="489" spans="1:18" x14ac:dyDescent="0.25">
      <c r="A489" t="s">
        <v>997</v>
      </c>
      <c r="B489" t="s">
        <v>998</v>
      </c>
      <c r="C489" t="s">
        <v>20</v>
      </c>
      <c r="D489">
        <v>24</v>
      </c>
      <c r="E489" t="s">
        <v>1067</v>
      </c>
      <c r="F489" t="s">
        <v>1068</v>
      </c>
      <c r="G489" t="s">
        <v>1028</v>
      </c>
      <c r="H489">
        <v>6</v>
      </c>
      <c r="I489" s="3">
        <v>30</v>
      </c>
      <c r="J489" s="3">
        <v>30</v>
      </c>
      <c r="K489">
        <v>1.1000000000000001</v>
      </c>
      <c r="L489" t="b">
        <v>1</v>
      </c>
      <c r="M489" s="2"/>
      <c r="O489" s="3" t="s">
        <v>1024</v>
      </c>
      <c r="P489" t="s">
        <v>1025</v>
      </c>
      <c r="Q489" s="3">
        <v>9</v>
      </c>
      <c r="R489">
        <v>9</v>
      </c>
    </row>
    <row r="490" spans="1:18" x14ac:dyDescent="0.25">
      <c r="A490" t="s">
        <v>999</v>
      </c>
      <c r="B490" t="s">
        <v>1000</v>
      </c>
      <c r="C490" t="s">
        <v>43</v>
      </c>
      <c r="D490">
        <v>33</v>
      </c>
      <c r="E490" t="s">
        <v>1039</v>
      </c>
      <c r="F490" t="s">
        <v>1040</v>
      </c>
      <c r="G490" t="s">
        <v>1033</v>
      </c>
      <c r="H490">
        <v>10</v>
      </c>
      <c r="I490" s="3" t="s">
        <v>73</v>
      </c>
      <c r="J490" s="3">
        <v>30</v>
      </c>
      <c r="K490">
        <v>0</v>
      </c>
      <c r="L490" t="b">
        <v>1</v>
      </c>
      <c r="M490" s="4">
        <v>0.89</v>
      </c>
      <c r="O490" s="3" t="s">
        <v>1038</v>
      </c>
      <c r="P490" t="s">
        <v>1025</v>
      </c>
      <c r="Q490" s="3">
        <v>11</v>
      </c>
      <c r="R490">
        <v>10</v>
      </c>
    </row>
    <row r="491" spans="1:18" x14ac:dyDescent="0.25">
      <c r="A491" t="s">
        <v>1001</v>
      </c>
      <c r="B491" t="s">
        <v>1002</v>
      </c>
      <c r="C491" t="s">
        <v>20</v>
      </c>
      <c r="D491">
        <v>43</v>
      </c>
      <c r="E491" t="s">
        <v>1057</v>
      </c>
      <c r="F491" t="s">
        <v>1058</v>
      </c>
      <c r="G491" t="s">
        <v>1049</v>
      </c>
      <c r="H491">
        <v>2</v>
      </c>
      <c r="I491" s="3" t="s">
        <v>26</v>
      </c>
      <c r="J491" s="3">
        <v>40</v>
      </c>
      <c r="K491">
        <v>0</v>
      </c>
      <c r="L491" t="b">
        <v>1</v>
      </c>
      <c r="M491" s="4">
        <v>0.89</v>
      </c>
      <c r="O491" s="3" t="s">
        <v>1024</v>
      </c>
      <c r="P491" t="s">
        <v>1025</v>
      </c>
      <c r="Q491" s="3">
        <v>5</v>
      </c>
      <c r="R491">
        <v>1</v>
      </c>
    </row>
    <row r="492" spans="1:18" x14ac:dyDescent="0.25">
      <c r="A492" t="s">
        <v>1003</v>
      </c>
      <c r="B492" t="s">
        <v>1004</v>
      </c>
      <c r="C492" t="s">
        <v>43</v>
      </c>
      <c r="D492">
        <v>43</v>
      </c>
      <c r="E492" t="s">
        <v>1072</v>
      </c>
      <c r="F492" t="s">
        <v>1048</v>
      </c>
      <c r="G492" t="s">
        <v>1023</v>
      </c>
      <c r="H492">
        <v>4</v>
      </c>
      <c r="I492" s="3">
        <v>50</v>
      </c>
      <c r="J492" s="3">
        <v>50</v>
      </c>
      <c r="K492">
        <v>0</v>
      </c>
      <c r="L492" t="b">
        <v>1</v>
      </c>
      <c r="M492" s="4">
        <v>1</v>
      </c>
      <c r="O492" s="3" t="s">
        <v>1038</v>
      </c>
      <c r="P492" t="s">
        <v>1029</v>
      </c>
      <c r="Q492" s="3">
        <v>2</v>
      </c>
      <c r="R492">
        <v>1</v>
      </c>
    </row>
    <row r="493" spans="1:18" x14ac:dyDescent="0.25">
      <c r="A493" t="s">
        <v>1005</v>
      </c>
      <c r="B493" t="s">
        <v>1006</v>
      </c>
      <c r="C493" t="s">
        <v>20</v>
      </c>
      <c r="D493">
        <v>33</v>
      </c>
      <c r="E493" t="s">
        <v>1026</v>
      </c>
      <c r="F493" t="s">
        <v>1027</v>
      </c>
      <c r="G493" t="s">
        <v>1033</v>
      </c>
      <c r="H493">
        <v>11</v>
      </c>
      <c r="J493" s="3">
        <v>52</v>
      </c>
      <c r="K493">
        <v>4.5999999999999996</v>
      </c>
      <c r="L493" t="b">
        <v>1</v>
      </c>
      <c r="M493" s="2"/>
      <c r="O493" s="3" t="s">
        <v>1046</v>
      </c>
      <c r="P493" t="s">
        <v>1032</v>
      </c>
      <c r="Q493" s="3">
        <v>15</v>
      </c>
      <c r="R493">
        <v>2</v>
      </c>
    </row>
    <row r="494" spans="1:18" x14ac:dyDescent="0.25">
      <c r="A494" t="s">
        <v>1007</v>
      </c>
      <c r="B494" t="s">
        <v>1008</v>
      </c>
      <c r="C494" t="s">
        <v>20</v>
      </c>
      <c r="D494">
        <v>49</v>
      </c>
      <c r="E494" t="s">
        <v>1060</v>
      </c>
      <c r="F494" t="s">
        <v>1061</v>
      </c>
      <c r="G494" t="s">
        <v>1049</v>
      </c>
      <c r="H494">
        <v>14</v>
      </c>
      <c r="I494" s="3">
        <v>40</v>
      </c>
      <c r="J494" s="3">
        <v>40</v>
      </c>
      <c r="K494">
        <v>1.5</v>
      </c>
      <c r="L494" t="b">
        <v>0</v>
      </c>
      <c r="M494" s="4">
        <v>0.6</v>
      </c>
      <c r="O494" s="3" t="s">
        <v>1038</v>
      </c>
      <c r="P494" t="s">
        <v>1042</v>
      </c>
      <c r="Q494" s="3">
        <v>15</v>
      </c>
      <c r="R494">
        <v>10</v>
      </c>
    </row>
    <row r="495" spans="1:18" x14ac:dyDescent="0.25">
      <c r="A495" t="s">
        <v>1009</v>
      </c>
      <c r="B495" t="s">
        <v>1010</v>
      </c>
      <c r="C495" t="s">
        <v>43</v>
      </c>
      <c r="D495">
        <v>55</v>
      </c>
      <c r="E495" t="s">
        <v>1062</v>
      </c>
      <c r="F495" t="s">
        <v>1027</v>
      </c>
      <c r="G495" t="s">
        <v>1049</v>
      </c>
      <c r="H495">
        <v>10</v>
      </c>
      <c r="I495" s="3">
        <v>40</v>
      </c>
      <c r="J495" s="3">
        <v>40</v>
      </c>
      <c r="K495">
        <v>2</v>
      </c>
      <c r="L495" t="s">
        <v>111</v>
      </c>
      <c r="M495" s="4">
        <v>0.85</v>
      </c>
      <c r="O495" s="3" t="s">
        <v>1038</v>
      </c>
      <c r="P495" t="s">
        <v>1032</v>
      </c>
      <c r="Q495" s="3">
        <v>7</v>
      </c>
      <c r="R495">
        <v>6</v>
      </c>
    </row>
    <row r="496" spans="1:18" x14ac:dyDescent="0.25">
      <c r="A496" t="s">
        <v>1011</v>
      </c>
      <c r="B496" t="s">
        <v>1012</v>
      </c>
      <c r="C496" t="s">
        <v>20</v>
      </c>
      <c r="D496">
        <v>33</v>
      </c>
      <c r="E496" t="s">
        <v>1051</v>
      </c>
      <c r="F496" t="s">
        <v>1059</v>
      </c>
      <c r="G496" t="s">
        <v>1031</v>
      </c>
      <c r="H496">
        <v>3</v>
      </c>
      <c r="I496" s="3" t="s">
        <v>26</v>
      </c>
      <c r="J496" s="3">
        <v>40</v>
      </c>
      <c r="K496">
        <v>1.6</v>
      </c>
      <c r="L496" t="b">
        <v>0</v>
      </c>
      <c r="M496" s="4">
        <v>0.83</v>
      </c>
      <c r="O496" s="3" t="s">
        <v>1046</v>
      </c>
      <c r="P496" t="s">
        <v>1042</v>
      </c>
      <c r="Q496" s="3">
        <v>4</v>
      </c>
      <c r="R496">
        <v>2</v>
      </c>
    </row>
    <row r="497" spans="1:18" x14ac:dyDescent="0.25">
      <c r="A497" t="s">
        <v>1013</v>
      </c>
      <c r="B497" t="s">
        <v>1014</v>
      </c>
      <c r="C497" t="s">
        <v>43</v>
      </c>
      <c r="D497">
        <v>32</v>
      </c>
      <c r="E497" t="s">
        <v>1047</v>
      </c>
      <c r="F497" t="s">
        <v>1048</v>
      </c>
      <c r="G497" t="s">
        <v>30</v>
      </c>
      <c r="H497">
        <v>3</v>
      </c>
      <c r="I497" s="3" t="s">
        <v>31</v>
      </c>
      <c r="J497" s="3">
        <v>30</v>
      </c>
      <c r="K497">
        <v>1.5</v>
      </c>
      <c r="L497" t="b">
        <v>0</v>
      </c>
      <c r="M497" s="4">
        <v>0.96</v>
      </c>
      <c r="O497" s="3" t="s">
        <v>1038</v>
      </c>
      <c r="P497" t="s">
        <v>1029</v>
      </c>
      <c r="Q497" s="3">
        <v>5</v>
      </c>
      <c r="R497">
        <v>1</v>
      </c>
    </row>
    <row r="498" spans="1:18" x14ac:dyDescent="0.25">
      <c r="A498" t="s">
        <v>1015</v>
      </c>
      <c r="B498" t="s">
        <v>1016</v>
      </c>
      <c r="C498" t="s">
        <v>43</v>
      </c>
      <c r="D498">
        <v>58</v>
      </c>
      <c r="E498" t="s">
        <v>1036</v>
      </c>
      <c r="F498" t="s">
        <v>1037</v>
      </c>
      <c r="G498" t="s">
        <v>1023</v>
      </c>
      <c r="H498">
        <v>33</v>
      </c>
      <c r="J498" s="3">
        <v>52</v>
      </c>
      <c r="K498">
        <v>4.0999999999999996</v>
      </c>
      <c r="L498" t="b">
        <v>1</v>
      </c>
      <c r="M498" s="4">
        <v>0.83</v>
      </c>
      <c r="O498" s="3" t="s">
        <v>1024</v>
      </c>
      <c r="P498" t="s">
        <v>1029</v>
      </c>
      <c r="Q498" s="3">
        <v>19</v>
      </c>
      <c r="R498">
        <v>3</v>
      </c>
    </row>
    <row r="499" spans="1:18" x14ac:dyDescent="0.25">
      <c r="A499" t="s">
        <v>1017</v>
      </c>
      <c r="B499" t="s">
        <v>1080</v>
      </c>
      <c r="C499" t="s">
        <v>43</v>
      </c>
      <c r="D499">
        <v>49</v>
      </c>
      <c r="E499" t="s">
        <v>1039</v>
      </c>
      <c r="F499" t="s">
        <v>1040</v>
      </c>
      <c r="G499" t="s">
        <v>1041</v>
      </c>
      <c r="H499">
        <v>24</v>
      </c>
      <c r="I499" s="3">
        <v>100</v>
      </c>
      <c r="J499" s="3">
        <v>100</v>
      </c>
      <c r="K499">
        <v>4.7</v>
      </c>
      <c r="L499" t="b">
        <v>0</v>
      </c>
      <c r="M499" s="4">
        <v>0.6</v>
      </c>
      <c r="O499" s="3" t="s">
        <v>1038</v>
      </c>
      <c r="P499" t="s">
        <v>1029</v>
      </c>
      <c r="Q499" s="3">
        <v>20</v>
      </c>
      <c r="R499">
        <v>3</v>
      </c>
    </row>
    <row r="500" spans="1:18" x14ac:dyDescent="0.25">
      <c r="A500" t="s">
        <v>1018</v>
      </c>
      <c r="B500" t="s">
        <v>1019</v>
      </c>
      <c r="C500" t="s">
        <v>20</v>
      </c>
      <c r="D500">
        <v>22</v>
      </c>
      <c r="E500" t="s">
        <v>1060</v>
      </c>
      <c r="F500" t="s">
        <v>1061</v>
      </c>
      <c r="G500" t="s">
        <v>1049</v>
      </c>
      <c r="H500">
        <v>3</v>
      </c>
      <c r="I500" s="3" t="s">
        <v>21</v>
      </c>
      <c r="J500" s="3">
        <v>100</v>
      </c>
      <c r="K500">
        <v>3.6</v>
      </c>
      <c r="L500" t="b">
        <v>1</v>
      </c>
      <c r="M500" s="4">
        <v>0.78</v>
      </c>
      <c r="O500" s="3" t="s">
        <v>1046</v>
      </c>
      <c r="P500" t="s">
        <v>1029</v>
      </c>
      <c r="Q500" s="3">
        <v>3</v>
      </c>
      <c r="R500">
        <v>4</v>
      </c>
    </row>
    <row r="501" spans="1:18" x14ac:dyDescent="0.25">
      <c r="J501" s="3">
        <v>52</v>
      </c>
    </row>
    <row r="502" spans="1:18" x14ac:dyDescent="0.25">
      <c r="M502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947D5-63A6-4ABA-9DF1-C2EE0D4C7652}">
  <dimension ref="A1:T502"/>
  <sheetViews>
    <sheetView tabSelected="1" workbookViewId="0">
      <selection activeCell="E2" sqref="E2"/>
    </sheetView>
  </sheetViews>
  <sheetFormatPr defaultRowHeight="15" x14ac:dyDescent="0.25"/>
  <cols>
    <col min="1" max="1" width="15.42578125" bestFit="1" customWidth="1"/>
    <col min="2" max="2" width="23" bestFit="1" customWidth="1"/>
    <col min="3" max="3" width="11.5703125" bestFit="1" customWidth="1"/>
    <col min="4" max="4" width="11.140625" bestFit="1" customWidth="1"/>
    <col min="5" max="5" width="12.140625" bestFit="1" customWidth="1"/>
    <col min="6" max="6" width="12.140625" customWidth="1"/>
    <col min="7" max="7" width="12.5703125" bestFit="1" customWidth="1"/>
    <col min="8" max="8" width="26.5703125" style="10" bestFit="1" customWidth="1"/>
    <col min="9" max="9" width="22.140625" bestFit="1" customWidth="1"/>
    <col min="10" max="10" width="19.28515625" bestFit="1" customWidth="1"/>
    <col min="11" max="11" width="19.28515625" customWidth="1"/>
    <col min="12" max="12" width="21.140625" bestFit="1" customWidth="1"/>
    <col min="13" max="13" width="8.42578125" bestFit="1" customWidth="1"/>
    <col min="14" max="14" width="11" bestFit="1" customWidth="1"/>
    <col min="15" max="15" width="5" bestFit="1" customWidth="1"/>
    <col min="16" max="16" width="11.140625" bestFit="1" customWidth="1"/>
    <col min="17" max="18" width="11.5703125" bestFit="1" customWidth="1"/>
    <col min="19" max="19" width="16" bestFit="1" customWidth="1"/>
    <col min="20" max="20" width="18.7109375" bestFit="1" customWidth="1"/>
  </cols>
  <sheetData>
    <row r="1" spans="1:20" x14ac:dyDescent="0.25">
      <c r="A1" t="s">
        <v>0</v>
      </c>
      <c r="B1" t="s">
        <v>1995</v>
      </c>
      <c r="C1" t="s">
        <v>1996</v>
      </c>
      <c r="D1" t="s">
        <v>1085</v>
      </c>
      <c r="E1" t="s">
        <v>1997</v>
      </c>
      <c r="F1" t="s">
        <v>1994</v>
      </c>
      <c r="G1" t="s">
        <v>5</v>
      </c>
      <c r="H1" s="10" t="s">
        <v>6</v>
      </c>
      <c r="I1" t="s">
        <v>7</v>
      </c>
      <c r="J1" t="s">
        <v>8</v>
      </c>
      <c r="K1" t="s">
        <v>1656</v>
      </c>
      <c r="L1" t="s">
        <v>1082</v>
      </c>
      <c r="M1" t="s">
        <v>9</v>
      </c>
      <c r="N1" t="s">
        <v>10</v>
      </c>
      <c r="O1" t="s">
        <v>1083</v>
      </c>
      <c r="P1" t="s">
        <v>1081</v>
      </c>
      <c r="Q1" t="s">
        <v>12</v>
      </c>
      <c r="R1" t="s">
        <v>13</v>
      </c>
      <c r="S1" t="s">
        <v>14</v>
      </c>
      <c r="T1" t="s">
        <v>15</v>
      </c>
    </row>
    <row r="2" spans="1:20" x14ac:dyDescent="0.25">
      <c r="A2" t="s">
        <v>16</v>
      </c>
      <c r="B2" t="s">
        <v>1086</v>
      </c>
      <c r="C2" t="s">
        <v>1087</v>
      </c>
      <c r="D2" t="s">
        <v>1088</v>
      </c>
      <c r="E2" t="s">
        <v>1657</v>
      </c>
      <c r="G2" t="s">
        <v>1022</v>
      </c>
      <c r="H2" s="10" t="s">
        <v>1023</v>
      </c>
      <c r="I2">
        <v>11</v>
      </c>
      <c r="J2">
        <v>100</v>
      </c>
      <c r="K2" t="str">
        <f t="shared" ref="K2:K65" si="0">TRIM(J2)</f>
        <v>100</v>
      </c>
      <c r="L2">
        <v>100</v>
      </c>
      <c r="M2">
        <v>2.4</v>
      </c>
      <c r="N2" t="b">
        <v>0</v>
      </c>
      <c r="P2" s="6">
        <v>0.78</v>
      </c>
      <c r="Q2" t="s">
        <v>1024</v>
      </c>
      <c r="R2" t="s">
        <v>1025</v>
      </c>
      <c r="S2">
        <v>13</v>
      </c>
      <c r="T2">
        <v>6</v>
      </c>
    </row>
    <row r="3" spans="1:20" x14ac:dyDescent="0.25">
      <c r="A3" t="s">
        <v>18</v>
      </c>
      <c r="B3" t="s">
        <v>1089</v>
      </c>
      <c r="C3" t="s">
        <v>1090</v>
      </c>
      <c r="E3" t="s">
        <v>1658</v>
      </c>
      <c r="G3" t="s">
        <v>1027</v>
      </c>
      <c r="H3" s="10" t="s">
        <v>1028</v>
      </c>
      <c r="I3">
        <v>34</v>
      </c>
      <c r="J3" t="s">
        <v>21</v>
      </c>
      <c r="K3" t="str">
        <f t="shared" si="0"/>
        <v>USD 100</v>
      </c>
      <c r="L3">
        <v>100</v>
      </c>
      <c r="M3">
        <v>3.3</v>
      </c>
      <c r="N3" t="b">
        <v>1</v>
      </c>
      <c r="O3">
        <v>0.84</v>
      </c>
      <c r="P3" s="6">
        <v>0.84</v>
      </c>
      <c r="Q3" t="s">
        <v>1024</v>
      </c>
      <c r="R3" t="s">
        <v>1029</v>
      </c>
      <c r="S3">
        <v>10</v>
      </c>
      <c r="T3">
        <v>7</v>
      </c>
    </row>
    <row r="4" spans="1:20" x14ac:dyDescent="0.25">
      <c r="A4" t="s">
        <v>22</v>
      </c>
      <c r="B4" t="s">
        <v>1091</v>
      </c>
      <c r="C4" t="s">
        <v>1092</v>
      </c>
      <c r="E4" t="s">
        <v>1659</v>
      </c>
      <c r="G4" t="s">
        <v>1030</v>
      </c>
      <c r="H4" s="10" t="s">
        <v>1031</v>
      </c>
      <c r="I4">
        <v>31</v>
      </c>
      <c r="J4">
        <v>50</v>
      </c>
      <c r="K4" t="str">
        <f t="shared" si="0"/>
        <v>50</v>
      </c>
      <c r="L4">
        <v>50</v>
      </c>
      <c r="M4">
        <v>0</v>
      </c>
      <c r="N4" t="b">
        <v>0</v>
      </c>
      <c r="O4">
        <v>0.71</v>
      </c>
      <c r="P4" s="6">
        <v>0.71</v>
      </c>
      <c r="Q4" t="s">
        <v>1024</v>
      </c>
      <c r="R4" t="s">
        <v>1032</v>
      </c>
      <c r="S4">
        <v>16</v>
      </c>
      <c r="T4">
        <v>16</v>
      </c>
    </row>
    <row r="5" spans="1:20" x14ac:dyDescent="0.25">
      <c r="A5" t="s">
        <v>24</v>
      </c>
      <c r="B5" t="s">
        <v>1093</v>
      </c>
      <c r="C5" t="s">
        <v>1094</v>
      </c>
      <c r="E5" t="s">
        <v>1660</v>
      </c>
      <c r="G5" t="s">
        <v>1027</v>
      </c>
      <c r="H5" s="10" t="s">
        <v>1033</v>
      </c>
      <c r="I5">
        <v>4</v>
      </c>
      <c r="J5" t="s">
        <v>26</v>
      </c>
      <c r="K5" t="str">
        <f t="shared" si="0"/>
        <v>$40</v>
      </c>
      <c r="L5">
        <v>40</v>
      </c>
      <c r="M5">
        <v>1.5</v>
      </c>
      <c r="N5" t="b">
        <v>0</v>
      </c>
      <c r="O5">
        <v>0.9</v>
      </c>
      <c r="P5" s="6">
        <v>0.9</v>
      </c>
      <c r="Q5" t="s">
        <v>1024</v>
      </c>
      <c r="R5" t="s">
        <v>1029</v>
      </c>
      <c r="S5">
        <v>5</v>
      </c>
      <c r="T5">
        <v>1</v>
      </c>
    </row>
    <row r="6" spans="1:20" x14ac:dyDescent="0.25">
      <c r="A6" t="s">
        <v>27</v>
      </c>
      <c r="B6" t="s">
        <v>1095</v>
      </c>
      <c r="C6" t="s">
        <v>1096</v>
      </c>
      <c r="D6" t="s">
        <v>1097</v>
      </c>
      <c r="E6" t="s">
        <v>1661</v>
      </c>
      <c r="G6" t="s">
        <v>1030</v>
      </c>
      <c r="H6" s="10" t="s">
        <v>1035</v>
      </c>
      <c r="I6">
        <v>27</v>
      </c>
      <c r="J6">
        <v>30</v>
      </c>
      <c r="K6" t="str">
        <f t="shared" si="0"/>
        <v>30</v>
      </c>
      <c r="L6">
        <v>30</v>
      </c>
      <c r="M6">
        <v>4.8</v>
      </c>
      <c r="N6" t="b">
        <v>0</v>
      </c>
      <c r="O6">
        <v>0.83</v>
      </c>
      <c r="P6" s="6">
        <v>0.83</v>
      </c>
      <c r="Q6" t="s">
        <v>1024</v>
      </c>
      <c r="R6" t="s">
        <v>1025</v>
      </c>
      <c r="S6">
        <v>13</v>
      </c>
      <c r="T6">
        <v>3</v>
      </c>
    </row>
    <row r="7" spans="1:20" x14ac:dyDescent="0.25">
      <c r="A7" t="s">
        <v>28</v>
      </c>
      <c r="B7" t="s">
        <v>1098</v>
      </c>
      <c r="C7" t="s">
        <v>1099</v>
      </c>
      <c r="E7" t="s">
        <v>1662</v>
      </c>
      <c r="G7" t="s">
        <v>1037</v>
      </c>
      <c r="H7" s="10" t="s">
        <v>30</v>
      </c>
      <c r="I7">
        <v>14</v>
      </c>
      <c r="J7" t="s">
        <v>31</v>
      </c>
      <c r="K7" t="str">
        <f t="shared" si="0"/>
        <v>$30</v>
      </c>
      <c r="L7">
        <v>30</v>
      </c>
      <c r="M7">
        <v>2.4</v>
      </c>
      <c r="N7" t="b">
        <v>0</v>
      </c>
      <c r="P7" s="6">
        <v>0.78</v>
      </c>
      <c r="Q7" t="s">
        <v>1038</v>
      </c>
      <c r="R7" t="s">
        <v>1032</v>
      </c>
      <c r="S7">
        <v>8</v>
      </c>
      <c r="T7">
        <v>3</v>
      </c>
    </row>
    <row r="8" spans="1:20" x14ac:dyDescent="0.25">
      <c r="A8" t="s">
        <v>32</v>
      </c>
      <c r="B8" t="s">
        <v>1100</v>
      </c>
      <c r="C8" t="s">
        <v>1101</v>
      </c>
      <c r="E8" t="s">
        <v>1663</v>
      </c>
      <c r="G8" t="s">
        <v>1040</v>
      </c>
      <c r="H8" s="10" t="s">
        <v>1041</v>
      </c>
      <c r="I8">
        <v>10</v>
      </c>
      <c r="J8" t="s">
        <v>34</v>
      </c>
      <c r="K8" t="str">
        <f t="shared" si="0"/>
        <v>USD 75</v>
      </c>
      <c r="L8">
        <v>75</v>
      </c>
      <c r="M8">
        <v>3.1</v>
      </c>
      <c r="N8" t="b">
        <v>0</v>
      </c>
      <c r="O8">
        <v>0.94</v>
      </c>
      <c r="P8" s="6">
        <v>0.94</v>
      </c>
      <c r="Q8" t="s">
        <v>1024</v>
      </c>
      <c r="R8" t="s">
        <v>1025</v>
      </c>
      <c r="S8">
        <v>10</v>
      </c>
      <c r="T8">
        <v>3</v>
      </c>
    </row>
    <row r="9" spans="1:20" x14ac:dyDescent="0.25">
      <c r="A9" t="s">
        <v>35</v>
      </c>
      <c r="B9" t="s">
        <v>1102</v>
      </c>
      <c r="C9" t="s">
        <v>1103</v>
      </c>
      <c r="E9" t="s">
        <v>1664</v>
      </c>
      <c r="G9" t="s">
        <v>1022</v>
      </c>
      <c r="H9" s="10" t="s">
        <v>1023</v>
      </c>
      <c r="I9">
        <v>14</v>
      </c>
      <c r="J9" t="s">
        <v>37</v>
      </c>
      <c r="K9" t="str">
        <f t="shared" si="0"/>
        <v>USD 40</v>
      </c>
      <c r="L9">
        <v>40</v>
      </c>
      <c r="M9">
        <v>4.5999999999999996</v>
      </c>
      <c r="N9" t="b">
        <v>0</v>
      </c>
      <c r="O9">
        <v>0.94</v>
      </c>
      <c r="P9" s="6">
        <v>0.94</v>
      </c>
      <c r="Q9" t="s">
        <v>1038</v>
      </c>
      <c r="R9" t="s">
        <v>1025</v>
      </c>
      <c r="S9">
        <v>7</v>
      </c>
      <c r="T9">
        <v>10</v>
      </c>
    </row>
    <row r="10" spans="1:20" x14ac:dyDescent="0.25">
      <c r="A10" t="s">
        <v>38</v>
      </c>
      <c r="B10" t="s">
        <v>1104</v>
      </c>
      <c r="C10" t="s">
        <v>1105</v>
      </c>
      <c r="E10" t="s">
        <v>1665</v>
      </c>
      <c r="G10" t="s">
        <v>1027</v>
      </c>
      <c r="H10" s="10" t="s">
        <v>1023</v>
      </c>
      <c r="I10">
        <v>4</v>
      </c>
      <c r="K10" t="str">
        <f t="shared" si="0"/>
        <v/>
      </c>
      <c r="L10">
        <v>70</v>
      </c>
      <c r="M10">
        <v>4</v>
      </c>
      <c r="N10" t="b">
        <v>1</v>
      </c>
      <c r="O10">
        <v>0.76</v>
      </c>
      <c r="P10" s="6">
        <v>0.76</v>
      </c>
      <c r="Q10" t="s">
        <v>1024</v>
      </c>
      <c r="R10" t="s">
        <v>1042</v>
      </c>
      <c r="S10">
        <v>2</v>
      </c>
      <c r="T10">
        <v>4</v>
      </c>
    </row>
    <row r="11" spans="1:20" x14ac:dyDescent="0.25">
      <c r="A11" t="s">
        <v>41</v>
      </c>
      <c r="B11" t="s">
        <v>1106</v>
      </c>
      <c r="C11" t="s">
        <v>1107</v>
      </c>
      <c r="E11" t="s">
        <v>1666</v>
      </c>
      <c r="G11" t="s">
        <v>1044</v>
      </c>
      <c r="H11" s="10" t="s">
        <v>30</v>
      </c>
      <c r="I11">
        <v>22</v>
      </c>
      <c r="J11" t="s">
        <v>44</v>
      </c>
      <c r="K11" t="str">
        <f t="shared" si="0"/>
        <v>$50</v>
      </c>
      <c r="L11">
        <v>50</v>
      </c>
      <c r="M11">
        <v>2.4</v>
      </c>
      <c r="N11" t="b">
        <v>1</v>
      </c>
      <c r="P11" s="6">
        <v>0.78</v>
      </c>
      <c r="Q11" t="s">
        <v>1045</v>
      </c>
      <c r="R11" t="s">
        <v>1032</v>
      </c>
      <c r="S11">
        <v>16</v>
      </c>
      <c r="T11">
        <v>5</v>
      </c>
    </row>
    <row r="12" spans="1:20" x14ac:dyDescent="0.25">
      <c r="A12" t="s">
        <v>45</v>
      </c>
      <c r="B12" t="s">
        <v>1108</v>
      </c>
      <c r="C12" t="s">
        <v>1109</v>
      </c>
      <c r="E12" t="s">
        <v>1667</v>
      </c>
      <c r="G12" t="s">
        <v>1027</v>
      </c>
      <c r="H12" s="10" t="s">
        <v>1041</v>
      </c>
      <c r="I12">
        <v>17</v>
      </c>
      <c r="J12">
        <v>40</v>
      </c>
      <c r="K12" t="str">
        <f t="shared" si="0"/>
        <v>40</v>
      </c>
      <c r="L12">
        <v>40</v>
      </c>
      <c r="M12">
        <v>3.6</v>
      </c>
      <c r="N12" t="b">
        <v>1</v>
      </c>
      <c r="O12">
        <v>0.77</v>
      </c>
      <c r="P12" s="6">
        <v>0.77</v>
      </c>
      <c r="Q12" t="s">
        <v>1046</v>
      </c>
      <c r="R12" t="s">
        <v>1042</v>
      </c>
      <c r="S12">
        <v>20</v>
      </c>
      <c r="T12">
        <v>5</v>
      </c>
    </row>
    <row r="13" spans="1:20" x14ac:dyDescent="0.25">
      <c r="A13" t="s">
        <v>48</v>
      </c>
      <c r="B13" t="s">
        <v>1110</v>
      </c>
      <c r="C13" t="s">
        <v>1096</v>
      </c>
      <c r="E13" t="s">
        <v>1668</v>
      </c>
      <c r="G13" t="s">
        <v>1048</v>
      </c>
      <c r="H13" s="10" t="s">
        <v>1049</v>
      </c>
      <c r="I13">
        <v>15</v>
      </c>
      <c r="K13" t="str">
        <f t="shared" si="0"/>
        <v/>
      </c>
      <c r="L13">
        <v>70</v>
      </c>
      <c r="M13">
        <v>2.4</v>
      </c>
      <c r="N13" t="b">
        <v>1</v>
      </c>
      <c r="O13">
        <v>0.86</v>
      </c>
      <c r="P13" s="6">
        <v>0.86</v>
      </c>
      <c r="Q13" t="s">
        <v>1038</v>
      </c>
      <c r="R13" t="s">
        <v>1032</v>
      </c>
      <c r="S13">
        <v>13</v>
      </c>
      <c r="T13">
        <v>4</v>
      </c>
    </row>
    <row r="14" spans="1:20" x14ac:dyDescent="0.25">
      <c r="A14" t="s">
        <v>50</v>
      </c>
      <c r="B14" t="s">
        <v>1111</v>
      </c>
      <c r="C14" t="s">
        <v>1112</v>
      </c>
      <c r="E14" t="s">
        <v>1669</v>
      </c>
      <c r="G14" t="s">
        <v>1027</v>
      </c>
      <c r="H14" s="10" t="s">
        <v>1050</v>
      </c>
      <c r="I14">
        <v>18</v>
      </c>
      <c r="K14" t="str">
        <f t="shared" si="0"/>
        <v/>
      </c>
      <c r="L14">
        <v>70</v>
      </c>
      <c r="M14">
        <v>2</v>
      </c>
      <c r="N14" t="b">
        <v>0</v>
      </c>
      <c r="O14">
        <v>0.86</v>
      </c>
      <c r="P14" s="6">
        <v>0.86</v>
      </c>
      <c r="Q14" t="s">
        <v>1024</v>
      </c>
      <c r="R14" t="s">
        <v>1025</v>
      </c>
      <c r="S14">
        <v>16</v>
      </c>
      <c r="T14">
        <v>15</v>
      </c>
    </row>
    <row r="15" spans="1:20" x14ac:dyDescent="0.25">
      <c r="A15" t="s">
        <v>52</v>
      </c>
      <c r="B15" t="s">
        <v>1113</v>
      </c>
      <c r="C15" t="s">
        <v>1114</v>
      </c>
      <c r="E15" t="s">
        <v>1670</v>
      </c>
      <c r="G15" t="s">
        <v>1048</v>
      </c>
      <c r="H15" s="10" t="s">
        <v>1031</v>
      </c>
      <c r="I15">
        <v>20</v>
      </c>
      <c r="J15" t="s">
        <v>34</v>
      </c>
      <c r="K15" t="str">
        <f t="shared" si="0"/>
        <v>USD 75</v>
      </c>
      <c r="L15">
        <v>75</v>
      </c>
      <c r="M15">
        <v>2.9</v>
      </c>
      <c r="N15" t="b">
        <v>1</v>
      </c>
      <c r="O15">
        <v>0.93</v>
      </c>
      <c r="P15" s="6">
        <v>0.93</v>
      </c>
      <c r="Q15" t="s">
        <v>1045</v>
      </c>
      <c r="R15" t="s">
        <v>1025</v>
      </c>
      <c r="S15">
        <v>17</v>
      </c>
      <c r="T15">
        <v>12</v>
      </c>
    </row>
    <row r="16" spans="1:20" x14ac:dyDescent="0.25">
      <c r="A16" t="s">
        <v>54</v>
      </c>
      <c r="B16" t="s">
        <v>1115</v>
      </c>
      <c r="C16" t="s">
        <v>1116</v>
      </c>
      <c r="E16" t="s">
        <v>1671</v>
      </c>
      <c r="G16" t="s">
        <v>1030</v>
      </c>
      <c r="H16" s="10" t="s">
        <v>1041</v>
      </c>
      <c r="I16">
        <v>22</v>
      </c>
      <c r="J16">
        <v>75</v>
      </c>
      <c r="K16" t="str">
        <f t="shared" si="0"/>
        <v>75</v>
      </c>
      <c r="L16">
        <v>75</v>
      </c>
      <c r="M16">
        <v>3.7</v>
      </c>
      <c r="N16" t="b">
        <v>1</v>
      </c>
      <c r="O16">
        <v>0.7</v>
      </c>
      <c r="P16" s="6">
        <v>0.7</v>
      </c>
      <c r="Q16" t="s">
        <v>1046</v>
      </c>
      <c r="R16" t="s">
        <v>1029</v>
      </c>
      <c r="S16">
        <v>14</v>
      </c>
      <c r="T16">
        <v>6</v>
      </c>
    </row>
    <row r="17" spans="1:20" x14ac:dyDescent="0.25">
      <c r="A17" t="s">
        <v>56</v>
      </c>
      <c r="B17" t="s">
        <v>1117</v>
      </c>
      <c r="C17" t="s">
        <v>1118</v>
      </c>
      <c r="E17" t="s">
        <v>1672</v>
      </c>
      <c r="G17" t="s">
        <v>1053</v>
      </c>
      <c r="H17" s="10" t="s">
        <v>1035</v>
      </c>
      <c r="I17">
        <v>0</v>
      </c>
      <c r="J17" t="s">
        <v>31</v>
      </c>
      <c r="K17" t="str">
        <f t="shared" si="0"/>
        <v>$30</v>
      </c>
      <c r="L17">
        <v>30</v>
      </c>
      <c r="M17">
        <v>1.2</v>
      </c>
      <c r="N17" t="b">
        <v>0</v>
      </c>
      <c r="O17">
        <v>0.69</v>
      </c>
      <c r="P17" s="6">
        <v>0.69</v>
      </c>
      <c r="Q17" t="s">
        <v>1038</v>
      </c>
      <c r="R17" t="s">
        <v>1032</v>
      </c>
      <c r="S17">
        <v>5</v>
      </c>
      <c r="T17">
        <v>2</v>
      </c>
    </row>
    <row r="18" spans="1:20" x14ac:dyDescent="0.25">
      <c r="A18" t="s">
        <v>58</v>
      </c>
      <c r="B18" t="s">
        <v>1119</v>
      </c>
      <c r="C18" t="s">
        <v>1099</v>
      </c>
      <c r="E18" t="s">
        <v>1662</v>
      </c>
      <c r="G18" t="s">
        <v>1027</v>
      </c>
      <c r="H18" s="10" t="s">
        <v>1054</v>
      </c>
      <c r="I18">
        <v>13</v>
      </c>
      <c r="J18" t="s">
        <v>31</v>
      </c>
      <c r="K18" t="str">
        <f t="shared" si="0"/>
        <v>$30</v>
      </c>
      <c r="L18">
        <v>30</v>
      </c>
      <c r="M18">
        <v>2.4</v>
      </c>
      <c r="N18" t="b">
        <v>0</v>
      </c>
      <c r="O18">
        <v>0.6</v>
      </c>
      <c r="P18" s="6">
        <v>0.6</v>
      </c>
      <c r="Q18" t="s">
        <v>1046</v>
      </c>
      <c r="R18" t="s">
        <v>1042</v>
      </c>
      <c r="S18">
        <v>7</v>
      </c>
      <c r="T18">
        <v>1</v>
      </c>
    </row>
    <row r="19" spans="1:20" x14ac:dyDescent="0.25">
      <c r="A19" t="s">
        <v>60</v>
      </c>
      <c r="B19" t="s">
        <v>1120</v>
      </c>
      <c r="C19" t="s">
        <v>1121</v>
      </c>
      <c r="E19" t="s">
        <v>1673</v>
      </c>
      <c r="G19" t="s">
        <v>1056</v>
      </c>
      <c r="H19" s="10" t="s">
        <v>1023</v>
      </c>
      <c r="I19">
        <v>10</v>
      </c>
      <c r="K19" t="str">
        <f t="shared" si="0"/>
        <v/>
      </c>
      <c r="L19">
        <v>70</v>
      </c>
      <c r="M19">
        <v>2.4</v>
      </c>
      <c r="N19" t="b">
        <v>0</v>
      </c>
      <c r="O19">
        <v>0.87</v>
      </c>
      <c r="P19" s="6">
        <v>0.87</v>
      </c>
      <c r="Q19" t="s">
        <v>1045</v>
      </c>
      <c r="R19" t="s">
        <v>1029</v>
      </c>
      <c r="S19">
        <v>1</v>
      </c>
      <c r="T19">
        <v>2</v>
      </c>
    </row>
    <row r="20" spans="1:20" x14ac:dyDescent="0.25">
      <c r="A20" t="s">
        <v>62</v>
      </c>
      <c r="B20" t="s">
        <v>1122</v>
      </c>
      <c r="C20" t="s">
        <v>1123</v>
      </c>
      <c r="E20" t="s">
        <v>1674</v>
      </c>
      <c r="G20" t="s">
        <v>1027</v>
      </c>
      <c r="H20" s="10" t="s">
        <v>1049</v>
      </c>
      <c r="I20">
        <v>31</v>
      </c>
      <c r="J20" t="s">
        <v>64</v>
      </c>
      <c r="K20" t="str">
        <f t="shared" si="0"/>
        <v>USD 50</v>
      </c>
      <c r="L20">
        <v>50</v>
      </c>
      <c r="M20">
        <v>1.1000000000000001</v>
      </c>
      <c r="N20" t="b">
        <v>0</v>
      </c>
      <c r="O20">
        <v>0.75</v>
      </c>
      <c r="P20" s="6">
        <v>0.75</v>
      </c>
      <c r="Q20" t="s">
        <v>1038</v>
      </c>
      <c r="R20" t="s">
        <v>1029</v>
      </c>
      <c r="S20">
        <v>13</v>
      </c>
      <c r="T20">
        <v>3</v>
      </c>
    </row>
    <row r="21" spans="1:20" x14ac:dyDescent="0.25">
      <c r="A21" t="s">
        <v>65</v>
      </c>
      <c r="B21" t="s">
        <v>1106</v>
      </c>
      <c r="C21" t="s">
        <v>1124</v>
      </c>
      <c r="E21" t="s">
        <v>1675</v>
      </c>
      <c r="G21" t="s">
        <v>1022</v>
      </c>
      <c r="H21" s="10" t="s">
        <v>1033</v>
      </c>
      <c r="I21">
        <v>3</v>
      </c>
      <c r="J21" t="s">
        <v>21</v>
      </c>
      <c r="K21" t="str">
        <f t="shared" si="0"/>
        <v>USD 100</v>
      </c>
      <c r="L21">
        <v>100</v>
      </c>
      <c r="M21">
        <v>1.8</v>
      </c>
      <c r="N21" t="b">
        <v>1</v>
      </c>
      <c r="O21">
        <v>0.68</v>
      </c>
      <c r="P21" s="6">
        <v>0.68</v>
      </c>
      <c r="Q21" t="s">
        <v>1046</v>
      </c>
      <c r="R21" t="s">
        <v>1029</v>
      </c>
      <c r="S21">
        <v>1</v>
      </c>
      <c r="T21">
        <v>1</v>
      </c>
    </row>
    <row r="22" spans="1:20" x14ac:dyDescent="0.25">
      <c r="A22" t="s">
        <v>67</v>
      </c>
      <c r="B22" t="s">
        <v>1125</v>
      </c>
      <c r="C22" t="s">
        <v>1126</v>
      </c>
      <c r="E22" t="s">
        <v>1676</v>
      </c>
      <c r="G22" t="s">
        <v>1040</v>
      </c>
      <c r="H22" s="10" t="s">
        <v>30</v>
      </c>
      <c r="I22">
        <v>9</v>
      </c>
      <c r="J22">
        <v>50</v>
      </c>
      <c r="K22" t="str">
        <f t="shared" si="0"/>
        <v>50</v>
      </c>
      <c r="L22">
        <v>50</v>
      </c>
      <c r="M22">
        <v>1.8</v>
      </c>
      <c r="N22" t="b">
        <v>0</v>
      </c>
      <c r="O22">
        <v>0.65</v>
      </c>
      <c r="P22" s="6">
        <v>0.65</v>
      </c>
      <c r="Q22" t="s">
        <v>1024</v>
      </c>
      <c r="R22" t="s">
        <v>1042</v>
      </c>
      <c r="S22">
        <v>15</v>
      </c>
      <c r="T22">
        <v>6</v>
      </c>
    </row>
    <row r="23" spans="1:20" x14ac:dyDescent="0.25">
      <c r="A23" t="s">
        <v>69</v>
      </c>
      <c r="B23" t="s">
        <v>1127</v>
      </c>
      <c r="C23" t="s">
        <v>1128</v>
      </c>
      <c r="E23" t="s">
        <v>1677</v>
      </c>
      <c r="G23" t="s">
        <v>1053</v>
      </c>
      <c r="H23" s="10" t="s">
        <v>1054</v>
      </c>
      <c r="I23">
        <v>10</v>
      </c>
      <c r="K23" t="str">
        <f t="shared" si="0"/>
        <v/>
      </c>
      <c r="L23">
        <v>70</v>
      </c>
      <c r="M23">
        <v>2.4</v>
      </c>
      <c r="N23" t="b">
        <v>0</v>
      </c>
      <c r="O23">
        <v>0.69</v>
      </c>
      <c r="P23" s="6">
        <v>0.69</v>
      </c>
      <c r="Q23" t="s">
        <v>1038</v>
      </c>
      <c r="R23" t="s">
        <v>1029</v>
      </c>
      <c r="S23">
        <v>3</v>
      </c>
      <c r="T23">
        <v>5</v>
      </c>
    </row>
    <row r="24" spans="1:20" x14ac:dyDescent="0.25">
      <c r="A24" t="s">
        <v>71</v>
      </c>
      <c r="B24" t="s">
        <v>1129</v>
      </c>
      <c r="C24" t="s">
        <v>1130</v>
      </c>
      <c r="E24" t="s">
        <v>1678</v>
      </c>
      <c r="G24" t="s">
        <v>1058</v>
      </c>
      <c r="H24" s="10" t="s">
        <v>1050</v>
      </c>
      <c r="I24">
        <v>21</v>
      </c>
      <c r="J24" t="s">
        <v>73</v>
      </c>
      <c r="K24" t="str">
        <f t="shared" si="0"/>
        <v>USD 30</v>
      </c>
      <c r="L24">
        <v>30</v>
      </c>
      <c r="M24">
        <v>4.7</v>
      </c>
      <c r="N24" t="b">
        <v>0</v>
      </c>
      <c r="P24" s="6">
        <v>0.78</v>
      </c>
      <c r="Q24" t="s">
        <v>1046</v>
      </c>
      <c r="R24" t="s">
        <v>1042</v>
      </c>
      <c r="S24">
        <v>14</v>
      </c>
      <c r="T24">
        <v>2</v>
      </c>
    </row>
    <row r="25" spans="1:20" x14ac:dyDescent="0.25">
      <c r="A25" t="s">
        <v>74</v>
      </c>
      <c r="B25" t="s">
        <v>1131</v>
      </c>
      <c r="C25" t="s">
        <v>1132</v>
      </c>
      <c r="E25" t="s">
        <v>1679</v>
      </c>
      <c r="G25" t="s">
        <v>1059</v>
      </c>
      <c r="H25" s="10" t="s">
        <v>1035</v>
      </c>
      <c r="I25">
        <v>15</v>
      </c>
      <c r="J25" t="s">
        <v>44</v>
      </c>
      <c r="K25" t="str">
        <f t="shared" si="0"/>
        <v>$50</v>
      </c>
      <c r="L25">
        <v>50</v>
      </c>
      <c r="M25">
        <v>1.3</v>
      </c>
      <c r="N25" t="b">
        <v>1</v>
      </c>
      <c r="O25">
        <v>1</v>
      </c>
      <c r="P25" s="6">
        <v>1</v>
      </c>
      <c r="Q25" t="s">
        <v>1045</v>
      </c>
      <c r="R25" t="s">
        <v>1029</v>
      </c>
      <c r="S25">
        <v>9</v>
      </c>
      <c r="T25">
        <v>3</v>
      </c>
    </row>
    <row r="26" spans="1:20" x14ac:dyDescent="0.25">
      <c r="A26" t="s">
        <v>76</v>
      </c>
      <c r="B26" t="s">
        <v>1133</v>
      </c>
      <c r="C26" t="s">
        <v>1105</v>
      </c>
      <c r="E26" t="s">
        <v>1665</v>
      </c>
      <c r="G26" t="s">
        <v>1040</v>
      </c>
      <c r="H26" s="10" t="s">
        <v>1035</v>
      </c>
      <c r="I26">
        <v>13</v>
      </c>
      <c r="J26">
        <v>75</v>
      </c>
      <c r="K26" t="str">
        <f t="shared" si="0"/>
        <v>75</v>
      </c>
      <c r="L26">
        <v>75</v>
      </c>
      <c r="M26">
        <v>2.9</v>
      </c>
      <c r="N26" t="b">
        <v>0</v>
      </c>
      <c r="O26">
        <v>92</v>
      </c>
      <c r="P26" s="6">
        <v>0.92</v>
      </c>
      <c r="Q26" t="s">
        <v>1045</v>
      </c>
      <c r="R26" t="s">
        <v>1042</v>
      </c>
      <c r="S26">
        <v>15</v>
      </c>
      <c r="T26">
        <v>3</v>
      </c>
    </row>
    <row r="27" spans="1:20" x14ac:dyDescent="0.25">
      <c r="A27" t="s">
        <v>78</v>
      </c>
      <c r="B27" t="s">
        <v>1134</v>
      </c>
      <c r="C27" t="s">
        <v>1135</v>
      </c>
      <c r="E27" t="s">
        <v>1680</v>
      </c>
      <c r="G27" t="s">
        <v>1059</v>
      </c>
      <c r="H27" s="10" t="s">
        <v>1054</v>
      </c>
      <c r="I27">
        <v>0</v>
      </c>
      <c r="J27" t="s">
        <v>73</v>
      </c>
      <c r="K27" t="str">
        <f t="shared" si="0"/>
        <v>USD 30</v>
      </c>
      <c r="L27">
        <v>30</v>
      </c>
      <c r="M27">
        <v>1.2</v>
      </c>
      <c r="N27" t="b">
        <v>1</v>
      </c>
      <c r="O27">
        <v>0.7</v>
      </c>
      <c r="P27" s="6">
        <v>0.7</v>
      </c>
      <c r="Q27" t="s">
        <v>1038</v>
      </c>
      <c r="R27" t="s">
        <v>1025</v>
      </c>
      <c r="S27">
        <v>5</v>
      </c>
      <c r="T27">
        <v>2</v>
      </c>
    </row>
    <row r="28" spans="1:20" x14ac:dyDescent="0.25">
      <c r="A28" t="s">
        <v>80</v>
      </c>
      <c r="B28" t="s">
        <v>1136</v>
      </c>
      <c r="C28" t="s">
        <v>1137</v>
      </c>
      <c r="E28" t="s">
        <v>1681</v>
      </c>
      <c r="G28" t="s">
        <v>1053</v>
      </c>
      <c r="H28" s="10" t="s">
        <v>1023</v>
      </c>
      <c r="I28">
        <v>8</v>
      </c>
      <c r="J28" t="s">
        <v>82</v>
      </c>
      <c r="K28" t="str">
        <f t="shared" si="0"/>
        <v>$20</v>
      </c>
      <c r="L28">
        <v>20</v>
      </c>
      <c r="M28">
        <v>0</v>
      </c>
      <c r="N28" t="b">
        <v>1</v>
      </c>
      <c r="O28">
        <v>0.89</v>
      </c>
      <c r="P28" s="6">
        <v>0.89</v>
      </c>
      <c r="Q28" t="s">
        <v>1046</v>
      </c>
      <c r="R28" t="s">
        <v>1025</v>
      </c>
      <c r="S28">
        <v>6</v>
      </c>
      <c r="T28">
        <v>1</v>
      </c>
    </row>
    <row r="29" spans="1:20" x14ac:dyDescent="0.25">
      <c r="A29" t="s">
        <v>83</v>
      </c>
      <c r="B29" t="s">
        <v>1138</v>
      </c>
      <c r="C29" t="s">
        <v>1139</v>
      </c>
      <c r="E29" t="s">
        <v>1682</v>
      </c>
      <c r="G29" t="s">
        <v>1061</v>
      </c>
      <c r="H29" s="10" t="s">
        <v>1031</v>
      </c>
      <c r="I29">
        <v>11</v>
      </c>
      <c r="K29" t="str">
        <f t="shared" si="0"/>
        <v/>
      </c>
      <c r="L29">
        <v>70</v>
      </c>
      <c r="M29">
        <v>1.8</v>
      </c>
      <c r="N29" t="b">
        <v>1</v>
      </c>
      <c r="O29">
        <v>0.86</v>
      </c>
      <c r="P29" s="6">
        <v>0.86</v>
      </c>
      <c r="Q29" t="s">
        <v>1038</v>
      </c>
      <c r="R29" t="s">
        <v>1025</v>
      </c>
      <c r="S29">
        <v>12</v>
      </c>
      <c r="T29">
        <v>4</v>
      </c>
    </row>
    <row r="30" spans="1:20" x14ac:dyDescent="0.25">
      <c r="A30" t="s">
        <v>85</v>
      </c>
      <c r="B30" t="s">
        <v>1140</v>
      </c>
      <c r="C30" t="s">
        <v>1141</v>
      </c>
      <c r="E30" t="s">
        <v>1683</v>
      </c>
      <c r="G30" t="s">
        <v>1027</v>
      </c>
      <c r="H30" s="10" t="s">
        <v>30</v>
      </c>
      <c r="I30">
        <v>22</v>
      </c>
      <c r="J30">
        <v>30</v>
      </c>
      <c r="K30" t="str">
        <f t="shared" si="0"/>
        <v>30</v>
      </c>
      <c r="L30">
        <v>30</v>
      </c>
      <c r="M30">
        <v>1.3</v>
      </c>
      <c r="N30" t="b">
        <v>0</v>
      </c>
      <c r="O30">
        <v>0.62</v>
      </c>
      <c r="P30" s="6">
        <v>0.62</v>
      </c>
      <c r="Q30" t="s">
        <v>1038</v>
      </c>
      <c r="R30" t="s">
        <v>1025</v>
      </c>
      <c r="S30">
        <v>14</v>
      </c>
      <c r="T30">
        <v>2</v>
      </c>
    </row>
    <row r="31" spans="1:20" x14ac:dyDescent="0.25">
      <c r="A31" t="s">
        <v>87</v>
      </c>
      <c r="B31" t="s">
        <v>1142</v>
      </c>
      <c r="C31" t="s">
        <v>1143</v>
      </c>
      <c r="E31" t="s">
        <v>1684</v>
      </c>
      <c r="G31" t="s">
        <v>1037</v>
      </c>
      <c r="H31" s="10" t="s">
        <v>1041</v>
      </c>
      <c r="I31">
        <v>14</v>
      </c>
      <c r="J31" t="s">
        <v>34</v>
      </c>
      <c r="K31" t="str">
        <f t="shared" si="0"/>
        <v>USD 75</v>
      </c>
      <c r="L31">
        <v>75</v>
      </c>
      <c r="M31">
        <v>1.2</v>
      </c>
      <c r="N31" t="b">
        <v>0</v>
      </c>
      <c r="P31" s="6">
        <v>0.78</v>
      </c>
      <c r="Q31" t="s">
        <v>1046</v>
      </c>
      <c r="R31" t="s">
        <v>1025</v>
      </c>
      <c r="S31">
        <v>6</v>
      </c>
      <c r="T31">
        <v>5</v>
      </c>
    </row>
    <row r="32" spans="1:20" x14ac:dyDescent="0.25">
      <c r="A32" t="s">
        <v>89</v>
      </c>
      <c r="B32" t="s">
        <v>1100</v>
      </c>
      <c r="C32" t="s">
        <v>1144</v>
      </c>
      <c r="E32" t="s">
        <v>1685</v>
      </c>
      <c r="G32" t="s">
        <v>1037</v>
      </c>
      <c r="H32" s="10" t="s">
        <v>1054</v>
      </c>
      <c r="I32">
        <v>4</v>
      </c>
      <c r="K32" t="str">
        <f t="shared" si="0"/>
        <v/>
      </c>
      <c r="L32">
        <v>70</v>
      </c>
      <c r="M32">
        <v>1</v>
      </c>
      <c r="N32" t="b">
        <v>1</v>
      </c>
      <c r="P32" s="6">
        <v>0.78</v>
      </c>
      <c r="Q32" t="s">
        <v>1046</v>
      </c>
      <c r="R32" t="s">
        <v>1029</v>
      </c>
      <c r="S32">
        <v>3</v>
      </c>
      <c r="T32">
        <v>1</v>
      </c>
    </row>
    <row r="33" spans="1:20" x14ac:dyDescent="0.25">
      <c r="A33" t="s">
        <v>91</v>
      </c>
      <c r="B33" t="s">
        <v>1145</v>
      </c>
      <c r="C33" t="s">
        <v>1146</v>
      </c>
      <c r="E33" t="s">
        <v>1686</v>
      </c>
      <c r="G33" t="s">
        <v>1064</v>
      </c>
      <c r="H33" s="10" t="s">
        <v>1035</v>
      </c>
      <c r="I33">
        <v>19</v>
      </c>
      <c r="J33" t="s">
        <v>21</v>
      </c>
      <c r="K33" t="str">
        <f t="shared" si="0"/>
        <v>USD 100</v>
      </c>
      <c r="L33">
        <v>100</v>
      </c>
      <c r="M33">
        <v>4.2</v>
      </c>
      <c r="N33" t="b">
        <v>0</v>
      </c>
      <c r="O33">
        <v>0.68</v>
      </c>
      <c r="P33" s="6">
        <v>0.68</v>
      </c>
      <c r="Q33" t="s">
        <v>1024</v>
      </c>
      <c r="R33" t="s">
        <v>1029</v>
      </c>
      <c r="S33">
        <v>10</v>
      </c>
      <c r="T33">
        <v>10</v>
      </c>
    </row>
    <row r="34" spans="1:20" x14ac:dyDescent="0.25">
      <c r="A34" t="s">
        <v>93</v>
      </c>
      <c r="B34" t="s">
        <v>1147</v>
      </c>
      <c r="C34" t="s">
        <v>1092</v>
      </c>
      <c r="E34" t="s">
        <v>1659</v>
      </c>
      <c r="G34" t="s">
        <v>1066</v>
      </c>
      <c r="H34" s="10" t="s">
        <v>30</v>
      </c>
      <c r="I34">
        <v>9</v>
      </c>
      <c r="J34">
        <v>20</v>
      </c>
      <c r="K34" t="str">
        <f t="shared" si="0"/>
        <v>20</v>
      </c>
      <c r="L34">
        <v>20</v>
      </c>
      <c r="M34">
        <v>1.4</v>
      </c>
      <c r="N34" t="b">
        <v>1</v>
      </c>
      <c r="O34">
        <v>0.76</v>
      </c>
      <c r="P34" s="6">
        <v>0.76</v>
      </c>
      <c r="Q34" t="s">
        <v>1046</v>
      </c>
      <c r="R34" t="s">
        <v>1029</v>
      </c>
      <c r="S34">
        <v>13</v>
      </c>
      <c r="T34">
        <v>6</v>
      </c>
    </row>
    <row r="35" spans="1:20" x14ac:dyDescent="0.25">
      <c r="A35" t="s">
        <v>95</v>
      </c>
      <c r="B35" t="s">
        <v>1148</v>
      </c>
      <c r="C35" t="s">
        <v>1149</v>
      </c>
      <c r="E35" t="s">
        <v>1687</v>
      </c>
      <c r="G35" t="s">
        <v>1059</v>
      </c>
      <c r="H35" s="10" t="s">
        <v>30</v>
      </c>
      <c r="I35">
        <v>9</v>
      </c>
      <c r="J35">
        <v>40</v>
      </c>
      <c r="K35" t="str">
        <f t="shared" si="0"/>
        <v>40</v>
      </c>
      <c r="L35">
        <v>40</v>
      </c>
      <c r="M35">
        <v>2.4</v>
      </c>
      <c r="N35" t="b">
        <v>1</v>
      </c>
      <c r="O35">
        <v>82</v>
      </c>
      <c r="P35" s="6">
        <v>0.82</v>
      </c>
      <c r="Q35" t="s">
        <v>1045</v>
      </c>
      <c r="R35" t="s">
        <v>1042</v>
      </c>
      <c r="S35">
        <v>15</v>
      </c>
      <c r="T35">
        <v>3</v>
      </c>
    </row>
    <row r="36" spans="1:20" x14ac:dyDescent="0.25">
      <c r="A36" t="s">
        <v>97</v>
      </c>
      <c r="B36" t="s">
        <v>1150</v>
      </c>
      <c r="C36" t="s">
        <v>1151</v>
      </c>
      <c r="E36" t="s">
        <v>1688</v>
      </c>
      <c r="G36" t="s">
        <v>1027</v>
      </c>
      <c r="H36" s="10" t="s">
        <v>1033</v>
      </c>
      <c r="I36">
        <v>32</v>
      </c>
      <c r="J36">
        <v>75</v>
      </c>
      <c r="K36" t="str">
        <f t="shared" si="0"/>
        <v>75</v>
      </c>
      <c r="L36">
        <v>75</v>
      </c>
      <c r="M36">
        <v>1</v>
      </c>
      <c r="N36" t="b">
        <v>1</v>
      </c>
      <c r="O36">
        <v>0.81</v>
      </c>
      <c r="P36" s="6">
        <v>0.81</v>
      </c>
      <c r="Q36" t="s">
        <v>1038</v>
      </c>
      <c r="R36" t="s">
        <v>1042</v>
      </c>
      <c r="S36">
        <v>18</v>
      </c>
      <c r="T36">
        <v>10</v>
      </c>
    </row>
    <row r="37" spans="1:20" x14ac:dyDescent="0.25">
      <c r="A37" t="s">
        <v>99</v>
      </c>
      <c r="B37" t="s">
        <v>1152</v>
      </c>
      <c r="C37" t="s">
        <v>1146</v>
      </c>
      <c r="E37" t="s">
        <v>1686</v>
      </c>
      <c r="G37" t="s">
        <v>1059</v>
      </c>
      <c r="H37" s="10" t="s">
        <v>1035</v>
      </c>
      <c r="I37">
        <v>28</v>
      </c>
      <c r="J37" t="s">
        <v>82</v>
      </c>
      <c r="K37" t="str">
        <f t="shared" si="0"/>
        <v>$20</v>
      </c>
      <c r="L37">
        <v>20</v>
      </c>
      <c r="M37">
        <v>2.4</v>
      </c>
      <c r="N37" t="b">
        <v>0</v>
      </c>
      <c r="P37" s="6">
        <v>0.78</v>
      </c>
      <c r="Q37" t="s">
        <v>1038</v>
      </c>
      <c r="R37" t="s">
        <v>1042</v>
      </c>
      <c r="S37">
        <v>18</v>
      </c>
      <c r="T37">
        <v>2</v>
      </c>
    </row>
    <row r="38" spans="1:20" x14ac:dyDescent="0.25">
      <c r="A38" t="s">
        <v>101</v>
      </c>
      <c r="B38" t="s">
        <v>1153</v>
      </c>
      <c r="C38" t="s">
        <v>1154</v>
      </c>
      <c r="E38" t="s">
        <v>1689</v>
      </c>
      <c r="G38" t="s">
        <v>1053</v>
      </c>
      <c r="H38" s="10" t="s">
        <v>1028</v>
      </c>
      <c r="I38">
        <v>6</v>
      </c>
      <c r="J38">
        <v>40</v>
      </c>
      <c r="K38" t="str">
        <f t="shared" si="0"/>
        <v>40</v>
      </c>
      <c r="L38">
        <v>40</v>
      </c>
      <c r="M38">
        <v>2.4</v>
      </c>
      <c r="N38" t="b">
        <v>0</v>
      </c>
      <c r="O38">
        <v>0.63</v>
      </c>
      <c r="P38" s="6">
        <v>0.63</v>
      </c>
      <c r="Q38" t="s">
        <v>1045</v>
      </c>
      <c r="R38" t="s">
        <v>1042</v>
      </c>
      <c r="S38">
        <v>15</v>
      </c>
      <c r="T38">
        <v>6</v>
      </c>
    </row>
    <row r="39" spans="1:20" x14ac:dyDescent="0.25">
      <c r="A39" t="s">
        <v>103</v>
      </c>
      <c r="B39" t="s">
        <v>1155</v>
      </c>
      <c r="C39" t="s">
        <v>1156</v>
      </c>
      <c r="E39" t="s">
        <v>1690</v>
      </c>
      <c r="G39" t="s">
        <v>1037</v>
      </c>
      <c r="H39" s="10" t="s">
        <v>1031</v>
      </c>
      <c r="I39">
        <v>10</v>
      </c>
      <c r="J39">
        <v>40</v>
      </c>
      <c r="K39" t="str">
        <f t="shared" si="0"/>
        <v>40</v>
      </c>
      <c r="L39">
        <v>40</v>
      </c>
      <c r="M39">
        <v>2.2000000000000002</v>
      </c>
      <c r="N39" t="b">
        <v>0</v>
      </c>
      <c r="O39">
        <v>0.67</v>
      </c>
      <c r="P39" s="6">
        <v>0.67</v>
      </c>
      <c r="Q39" t="s">
        <v>1046</v>
      </c>
      <c r="R39" t="s">
        <v>1025</v>
      </c>
      <c r="S39">
        <v>10</v>
      </c>
      <c r="T39">
        <v>9</v>
      </c>
    </row>
    <row r="40" spans="1:20" x14ac:dyDescent="0.25">
      <c r="A40" t="s">
        <v>105</v>
      </c>
      <c r="B40" t="s">
        <v>1157</v>
      </c>
      <c r="C40" t="s">
        <v>1158</v>
      </c>
      <c r="E40" t="s">
        <v>1691</v>
      </c>
      <c r="G40" t="s">
        <v>1068</v>
      </c>
      <c r="H40" s="10" t="s">
        <v>1028</v>
      </c>
      <c r="I40">
        <v>23</v>
      </c>
      <c r="J40">
        <v>50</v>
      </c>
      <c r="K40" t="str">
        <f t="shared" si="0"/>
        <v>50</v>
      </c>
      <c r="L40">
        <v>50</v>
      </c>
      <c r="M40">
        <v>3.2</v>
      </c>
      <c r="N40" t="b">
        <v>1</v>
      </c>
      <c r="P40" s="6">
        <v>0.78</v>
      </c>
      <c r="Q40" t="s">
        <v>1045</v>
      </c>
      <c r="R40" t="s">
        <v>1025</v>
      </c>
      <c r="S40">
        <v>13</v>
      </c>
      <c r="T40">
        <v>3</v>
      </c>
    </row>
    <row r="41" spans="1:20" x14ac:dyDescent="0.25">
      <c r="A41" t="s">
        <v>107</v>
      </c>
      <c r="B41" t="s">
        <v>1125</v>
      </c>
      <c r="C41" t="s">
        <v>1159</v>
      </c>
      <c r="E41" t="s">
        <v>1692</v>
      </c>
      <c r="G41" t="s">
        <v>1053</v>
      </c>
      <c r="H41" s="10" t="s">
        <v>1033</v>
      </c>
      <c r="I41">
        <v>13</v>
      </c>
      <c r="J41" t="s">
        <v>82</v>
      </c>
      <c r="K41" t="str">
        <f t="shared" si="0"/>
        <v>$20</v>
      </c>
      <c r="L41">
        <v>20</v>
      </c>
      <c r="M41">
        <v>3.6</v>
      </c>
      <c r="N41" t="b">
        <v>0</v>
      </c>
      <c r="O41">
        <v>0.8</v>
      </c>
      <c r="P41" s="6">
        <v>0.8</v>
      </c>
      <c r="Q41" t="s">
        <v>1045</v>
      </c>
      <c r="R41" t="s">
        <v>1025</v>
      </c>
      <c r="S41">
        <v>9</v>
      </c>
      <c r="T41">
        <v>3</v>
      </c>
    </row>
    <row r="42" spans="1:20" x14ac:dyDescent="0.25">
      <c r="A42" t="s">
        <v>109</v>
      </c>
      <c r="B42" t="s">
        <v>1160</v>
      </c>
      <c r="C42" t="s">
        <v>1161</v>
      </c>
      <c r="E42" t="s">
        <v>1693</v>
      </c>
      <c r="G42" t="s">
        <v>1027</v>
      </c>
      <c r="H42" s="10" t="s">
        <v>30</v>
      </c>
      <c r="I42">
        <v>3</v>
      </c>
      <c r="J42" t="s">
        <v>64</v>
      </c>
      <c r="K42" t="str">
        <f t="shared" si="0"/>
        <v>USD 50</v>
      </c>
      <c r="L42">
        <v>50</v>
      </c>
      <c r="M42">
        <v>0</v>
      </c>
      <c r="N42" t="s">
        <v>111</v>
      </c>
      <c r="P42" s="6">
        <v>0.78</v>
      </c>
      <c r="Q42" t="s">
        <v>1024</v>
      </c>
      <c r="R42" t="s">
        <v>1032</v>
      </c>
      <c r="S42">
        <v>3</v>
      </c>
      <c r="T42">
        <v>1</v>
      </c>
    </row>
    <row r="43" spans="1:20" x14ac:dyDescent="0.25">
      <c r="A43" t="s">
        <v>112</v>
      </c>
      <c r="B43" t="s">
        <v>1162</v>
      </c>
      <c r="C43" t="s">
        <v>1163</v>
      </c>
      <c r="E43" t="s">
        <v>1694</v>
      </c>
      <c r="G43" t="s">
        <v>1027</v>
      </c>
      <c r="H43" s="10" t="s">
        <v>1033</v>
      </c>
      <c r="I43">
        <v>0</v>
      </c>
      <c r="J43">
        <v>30</v>
      </c>
      <c r="K43" t="str">
        <f t="shared" si="0"/>
        <v>30</v>
      </c>
      <c r="L43">
        <v>30</v>
      </c>
      <c r="M43">
        <v>2.7</v>
      </c>
      <c r="N43" t="b">
        <v>1</v>
      </c>
      <c r="O43">
        <v>0.84</v>
      </c>
      <c r="P43" s="6">
        <v>0.84</v>
      </c>
      <c r="Q43" t="s">
        <v>1045</v>
      </c>
      <c r="R43" t="s">
        <v>1029</v>
      </c>
      <c r="S43">
        <v>5</v>
      </c>
      <c r="T43">
        <v>1</v>
      </c>
    </row>
    <row r="44" spans="1:20" x14ac:dyDescent="0.25">
      <c r="A44" t="s">
        <v>114</v>
      </c>
      <c r="B44" t="s">
        <v>1164</v>
      </c>
      <c r="C44" t="s">
        <v>1165</v>
      </c>
      <c r="E44" t="s">
        <v>1695</v>
      </c>
      <c r="G44" t="s">
        <v>1030</v>
      </c>
      <c r="H44" s="10" t="s">
        <v>1054</v>
      </c>
      <c r="I44">
        <v>10</v>
      </c>
      <c r="J44" t="s">
        <v>44</v>
      </c>
      <c r="K44" t="str">
        <f t="shared" si="0"/>
        <v>$50</v>
      </c>
      <c r="L44">
        <v>50</v>
      </c>
      <c r="M44">
        <v>0</v>
      </c>
      <c r="N44" t="s">
        <v>111</v>
      </c>
      <c r="P44" s="6">
        <v>0.78</v>
      </c>
      <c r="Q44" t="s">
        <v>1038</v>
      </c>
      <c r="R44" t="s">
        <v>1042</v>
      </c>
      <c r="S44">
        <v>7</v>
      </c>
      <c r="T44">
        <v>6</v>
      </c>
    </row>
    <row r="45" spans="1:20" x14ac:dyDescent="0.25">
      <c r="A45" t="s">
        <v>116</v>
      </c>
      <c r="B45" t="s">
        <v>1166</v>
      </c>
      <c r="C45" t="s">
        <v>1167</v>
      </c>
      <c r="E45" t="s">
        <v>1696</v>
      </c>
      <c r="G45" t="s">
        <v>1027</v>
      </c>
      <c r="H45" s="10" t="s">
        <v>1041</v>
      </c>
      <c r="I45">
        <v>10</v>
      </c>
      <c r="J45">
        <v>20</v>
      </c>
      <c r="K45" t="str">
        <f t="shared" si="0"/>
        <v>20</v>
      </c>
      <c r="L45">
        <v>20</v>
      </c>
      <c r="M45">
        <v>2.8</v>
      </c>
      <c r="N45" t="b">
        <v>1</v>
      </c>
      <c r="O45">
        <v>0.63</v>
      </c>
      <c r="P45" s="6">
        <v>0.63</v>
      </c>
      <c r="Q45" t="s">
        <v>1045</v>
      </c>
      <c r="R45" t="s">
        <v>1042</v>
      </c>
      <c r="S45">
        <v>1</v>
      </c>
      <c r="T45">
        <v>1</v>
      </c>
    </row>
    <row r="46" spans="1:20" x14ac:dyDescent="0.25">
      <c r="A46" t="s">
        <v>118</v>
      </c>
      <c r="B46" t="s">
        <v>1110</v>
      </c>
      <c r="C46" t="s">
        <v>1154</v>
      </c>
      <c r="E46" t="s">
        <v>1689</v>
      </c>
      <c r="G46" t="s">
        <v>1037</v>
      </c>
      <c r="H46" s="10" t="s">
        <v>1035</v>
      </c>
      <c r="I46">
        <v>23</v>
      </c>
      <c r="J46">
        <v>20</v>
      </c>
      <c r="K46" t="str">
        <f t="shared" si="0"/>
        <v>20</v>
      </c>
      <c r="L46">
        <v>20</v>
      </c>
      <c r="M46">
        <v>2.4</v>
      </c>
      <c r="N46" t="b">
        <v>0</v>
      </c>
      <c r="O46">
        <v>0.8</v>
      </c>
      <c r="P46" s="6">
        <v>0.8</v>
      </c>
      <c r="Q46" t="s">
        <v>1038</v>
      </c>
      <c r="R46" t="s">
        <v>1025</v>
      </c>
      <c r="S46">
        <v>17</v>
      </c>
      <c r="T46">
        <v>15</v>
      </c>
    </row>
    <row r="47" spans="1:20" x14ac:dyDescent="0.25">
      <c r="A47" t="s">
        <v>120</v>
      </c>
      <c r="B47" t="s">
        <v>1125</v>
      </c>
      <c r="C47" t="s">
        <v>1168</v>
      </c>
      <c r="E47" t="s">
        <v>1697</v>
      </c>
      <c r="G47" t="s">
        <v>1068</v>
      </c>
      <c r="H47" s="10" t="s">
        <v>1033</v>
      </c>
      <c r="I47">
        <v>9</v>
      </c>
      <c r="J47" t="s">
        <v>122</v>
      </c>
      <c r="K47" t="str">
        <f t="shared" si="0"/>
        <v>$75</v>
      </c>
      <c r="L47">
        <v>75</v>
      </c>
      <c r="M47">
        <v>4.9000000000000004</v>
      </c>
      <c r="N47" t="b">
        <v>1</v>
      </c>
      <c r="O47">
        <v>0.74</v>
      </c>
      <c r="P47" s="6">
        <v>0.74</v>
      </c>
      <c r="Q47" t="s">
        <v>1038</v>
      </c>
      <c r="R47" t="s">
        <v>1042</v>
      </c>
      <c r="S47">
        <v>13</v>
      </c>
      <c r="T47">
        <v>8</v>
      </c>
    </row>
    <row r="48" spans="1:20" x14ac:dyDescent="0.25">
      <c r="A48" t="s">
        <v>123</v>
      </c>
      <c r="B48" t="s">
        <v>1169</v>
      </c>
      <c r="C48" t="s">
        <v>1170</v>
      </c>
      <c r="D48" t="s">
        <v>1171</v>
      </c>
      <c r="E48" t="s">
        <v>1698</v>
      </c>
      <c r="G48" t="s">
        <v>1066</v>
      </c>
      <c r="H48" s="10" t="s">
        <v>1054</v>
      </c>
      <c r="I48">
        <v>15</v>
      </c>
      <c r="J48" t="s">
        <v>73</v>
      </c>
      <c r="K48" t="str">
        <f t="shared" si="0"/>
        <v>USD 30</v>
      </c>
      <c r="L48">
        <v>30</v>
      </c>
      <c r="M48">
        <v>4.5</v>
      </c>
      <c r="N48" t="b">
        <v>1</v>
      </c>
      <c r="O48">
        <v>0.85</v>
      </c>
      <c r="P48" s="6">
        <v>0.85</v>
      </c>
      <c r="Q48" t="s">
        <v>1038</v>
      </c>
      <c r="R48" t="s">
        <v>1042</v>
      </c>
      <c r="S48">
        <v>12</v>
      </c>
      <c r="T48">
        <v>4</v>
      </c>
    </row>
    <row r="49" spans="1:20" x14ac:dyDescent="0.25">
      <c r="A49" t="s">
        <v>125</v>
      </c>
      <c r="B49" t="s">
        <v>1172</v>
      </c>
      <c r="C49" t="s">
        <v>1173</v>
      </c>
      <c r="E49" t="s">
        <v>1699</v>
      </c>
      <c r="G49" t="s">
        <v>1070</v>
      </c>
      <c r="H49" s="10" t="s">
        <v>1031</v>
      </c>
      <c r="I49">
        <v>4</v>
      </c>
      <c r="J49">
        <v>50</v>
      </c>
      <c r="K49" t="str">
        <f t="shared" si="0"/>
        <v>50</v>
      </c>
      <c r="L49">
        <v>50</v>
      </c>
      <c r="M49">
        <v>2.7</v>
      </c>
      <c r="N49" t="b">
        <v>0</v>
      </c>
      <c r="O49">
        <v>0.77</v>
      </c>
      <c r="P49" s="6">
        <v>0.77</v>
      </c>
      <c r="Q49" t="s">
        <v>1046</v>
      </c>
      <c r="R49" t="s">
        <v>1029</v>
      </c>
      <c r="S49">
        <v>4</v>
      </c>
      <c r="T49">
        <v>3</v>
      </c>
    </row>
    <row r="50" spans="1:20" x14ac:dyDescent="0.25">
      <c r="A50" t="s">
        <v>127</v>
      </c>
      <c r="B50" t="s">
        <v>1174</v>
      </c>
      <c r="C50" t="s">
        <v>1175</v>
      </c>
      <c r="E50" t="s">
        <v>1700</v>
      </c>
      <c r="G50" t="s">
        <v>1048</v>
      </c>
      <c r="H50" s="10" t="s">
        <v>1028</v>
      </c>
      <c r="I50">
        <v>7</v>
      </c>
      <c r="J50">
        <v>20</v>
      </c>
      <c r="K50" t="str">
        <f t="shared" si="0"/>
        <v>20</v>
      </c>
      <c r="L50">
        <v>20</v>
      </c>
      <c r="M50">
        <v>1.9</v>
      </c>
      <c r="N50" t="b">
        <v>0</v>
      </c>
      <c r="P50" s="6">
        <v>0.78</v>
      </c>
      <c r="Q50" t="s">
        <v>1024</v>
      </c>
      <c r="R50" t="s">
        <v>1025</v>
      </c>
      <c r="S50">
        <v>12</v>
      </c>
      <c r="T50">
        <v>10</v>
      </c>
    </row>
    <row r="51" spans="1:20" x14ac:dyDescent="0.25">
      <c r="A51" t="s">
        <v>129</v>
      </c>
      <c r="B51" t="s">
        <v>1176</v>
      </c>
      <c r="C51" t="s">
        <v>1177</v>
      </c>
      <c r="E51" t="s">
        <v>1701</v>
      </c>
      <c r="G51" t="s">
        <v>1037</v>
      </c>
      <c r="H51" s="10" t="s">
        <v>1049</v>
      </c>
      <c r="I51">
        <v>1</v>
      </c>
      <c r="J51">
        <v>20</v>
      </c>
      <c r="K51" t="str">
        <f t="shared" si="0"/>
        <v>20</v>
      </c>
      <c r="L51">
        <v>20</v>
      </c>
      <c r="M51">
        <v>1.4</v>
      </c>
      <c r="N51" t="b">
        <v>1</v>
      </c>
      <c r="O51">
        <v>0.63</v>
      </c>
      <c r="P51" s="6">
        <v>0.63</v>
      </c>
      <c r="Q51" t="s">
        <v>1038</v>
      </c>
      <c r="R51" t="s">
        <v>1029</v>
      </c>
      <c r="S51">
        <v>2</v>
      </c>
      <c r="T51">
        <v>1</v>
      </c>
    </row>
    <row r="52" spans="1:20" x14ac:dyDescent="0.25">
      <c r="A52" t="s">
        <v>131</v>
      </c>
      <c r="B52" t="s">
        <v>1178</v>
      </c>
      <c r="C52" t="s">
        <v>1179</v>
      </c>
      <c r="E52" t="s">
        <v>1702</v>
      </c>
      <c r="G52" t="s">
        <v>1048</v>
      </c>
      <c r="H52" s="10" t="s">
        <v>1050</v>
      </c>
      <c r="I52">
        <v>0</v>
      </c>
      <c r="J52">
        <v>75</v>
      </c>
      <c r="K52" t="str">
        <f t="shared" si="0"/>
        <v>75</v>
      </c>
      <c r="L52">
        <v>75</v>
      </c>
      <c r="M52">
        <v>1.9</v>
      </c>
      <c r="N52" t="b">
        <v>1</v>
      </c>
      <c r="O52">
        <v>0.79</v>
      </c>
      <c r="P52" s="6">
        <v>0.79</v>
      </c>
      <c r="Q52" t="s">
        <v>1038</v>
      </c>
      <c r="R52" t="s">
        <v>1032</v>
      </c>
      <c r="S52">
        <v>2</v>
      </c>
      <c r="T52">
        <v>5</v>
      </c>
    </row>
    <row r="53" spans="1:20" x14ac:dyDescent="0.25">
      <c r="A53" t="s">
        <v>133</v>
      </c>
      <c r="B53" t="s">
        <v>1180</v>
      </c>
      <c r="C53" t="s">
        <v>1120</v>
      </c>
      <c r="E53" t="s">
        <v>1703</v>
      </c>
      <c r="G53" t="s">
        <v>1064</v>
      </c>
      <c r="H53" s="10" t="s">
        <v>1041</v>
      </c>
      <c r="I53">
        <v>8</v>
      </c>
      <c r="J53">
        <v>50</v>
      </c>
      <c r="K53" t="str">
        <f t="shared" si="0"/>
        <v>50</v>
      </c>
      <c r="L53">
        <v>50</v>
      </c>
      <c r="M53">
        <v>3.4</v>
      </c>
      <c r="N53" t="b">
        <v>0</v>
      </c>
      <c r="P53" s="6">
        <v>0.78</v>
      </c>
      <c r="Q53" t="s">
        <v>1046</v>
      </c>
      <c r="R53" t="s">
        <v>1032</v>
      </c>
      <c r="S53">
        <v>11</v>
      </c>
      <c r="T53">
        <v>3</v>
      </c>
    </row>
    <row r="54" spans="1:20" x14ac:dyDescent="0.25">
      <c r="A54" t="s">
        <v>135</v>
      </c>
      <c r="B54" t="s">
        <v>1181</v>
      </c>
      <c r="C54" t="s">
        <v>1182</v>
      </c>
      <c r="E54" t="s">
        <v>1704</v>
      </c>
      <c r="G54" t="s">
        <v>1030</v>
      </c>
      <c r="H54" s="10" t="s">
        <v>1035</v>
      </c>
      <c r="I54">
        <v>33</v>
      </c>
      <c r="J54">
        <v>75</v>
      </c>
      <c r="K54" t="str">
        <f t="shared" si="0"/>
        <v>75</v>
      </c>
      <c r="L54">
        <v>75</v>
      </c>
      <c r="M54">
        <v>3.3</v>
      </c>
      <c r="N54" t="b">
        <v>0</v>
      </c>
      <c r="O54">
        <v>0.68</v>
      </c>
      <c r="P54" s="6">
        <v>0.68</v>
      </c>
      <c r="Q54" t="s">
        <v>1038</v>
      </c>
      <c r="R54" t="s">
        <v>1032</v>
      </c>
      <c r="S54">
        <v>17</v>
      </c>
      <c r="T54">
        <v>8</v>
      </c>
    </row>
    <row r="55" spans="1:20" x14ac:dyDescent="0.25">
      <c r="A55" t="s">
        <v>137</v>
      </c>
      <c r="B55" t="s">
        <v>1183</v>
      </c>
      <c r="C55" t="s">
        <v>1184</v>
      </c>
      <c r="E55" t="s">
        <v>1705</v>
      </c>
      <c r="G55" t="s">
        <v>1048</v>
      </c>
      <c r="H55" s="10" t="s">
        <v>1049</v>
      </c>
      <c r="I55">
        <v>1</v>
      </c>
      <c r="J55">
        <v>30</v>
      </c>
      <c r="K55" t="str">
        <f t="shared" si="0"/>
        <v>30</v>
      </c>
      <c r="L55">
        <v>30</v>
      </c>
      <c r="M55">
        <v>0</v>
      </c>
      <c r="N55" t="b">
        <v>0</v>
      </c>
      <c r="O55">
        <v>0.68</v>
      </c>
      <c r="P55" s="6">
        <v>0.68</v>
      </c>
      <c r="Q55" t="s">
        <v>1045</v>
      </c>
      <c r="R55" t="s">
        <v>1025</v>
      </c>
      <c r="S55">
        <v>1</v>
      </c>
      <c r="T55">
        <v>2</v>
      </c>
    </row>
    <row r="56" spans="1:20" x14ac:dyDescent="0.25">
      <c r="A56" t="s">
        <v>139</v>
      </c>
      <c r="B56" t="s">
        <v>1133</v>
      </c>
      <c r="C56" t="s">
        <v>1185</v>
      </c>
      <c r="E56" t="s">
        <v>1706</v>
      </c>
      <c r="G56" t="s">
        <v>1044</v>
      </c>
      <c r="H56" s="10" t="s">
        <v>1050</v>
      </c>
      <c r="I56">
        <v>11</v>
      </c>
      <c r="J56">
        <v>100</v>
      </c>
      <c r="K56" t="str">
        <f t="shared" si="0"/>
        <v>100</v>
      </c>
      <c r="L56">
        <v>100</v>
      </c>
      <c r="M56">
        <v>2.2999999999999998</v>
      </c>
      <c r="N56" t="b">
        <v>1</v>
      </c>
      <c r="O56">
        <v>0.72</v>
      </c>
      <c r="P56" s="6">
        <v>0.72</v>
      </c>
      <c r="Q56" t="s">
        <v>1045</v>
      </c>
      <c r="R56" t="s">
        <v>1042</v>
      </c>
      <c r="S56">
        <v>7</v>
      </c>
      <c r="T56">
        <v>7</v>
      </c>
    </row>
    <row r="57" spans="1:20" x14ac:dyDescent="0.25">
      <c r="A57" t="s">
        <v>141</v>
      </c>
      <c r="B57" t="s">
        <v>1186</v>
      </c>
      <c r="C57" t="s">
        <v>1187</v>
      </c>
      <c r="E57" t="s">
        <v>1707</v>
      </c>
      <c r="G57" t="s">
        <v>1027</v>
      </c>
      <c r="H57" s="10" t="s">
        <v>30</v>
      </c>
      <c r="I57">
        <v>15</v>
      </c>
      <c r="K57" t="str">
        <f t="shared" si="0"/>
        <v/>
      </c>
      <c r="L57">
        <v>70</v>
      </c>
      <c r="M57">
        <v>2</v>
      </c>
      <c r="N57" t="b">
        <v>1</v>
      </c>
      <c r="O57">
        <v>0.65</v>
      </c>
      <c r="P57" s="6">
        <v>0.65</v>
      </c>
      <c r="Q57" t="s">
        <v>1024</v>
      </c>
      <c r="R57" t="s">
        <v>1025</v>
      </c>
      <c r="S57">
        <v>7</v>
      </c>
      <c r="T57">
        <v>7</v>
      </c>
    </row>
    <row r="58" spans="1:20" x14ac:dyDescent="0.25">
      <c r="A58" t="s">
        <v>143</v>
      </c>
      <c r="B58" t="s">
        <v>1119</v>
      </c>
      <c r="C58" t="s">
        <v>1188</v>
      </c>
      <c r="E58" t="s">
        <v>1708</v>
      </c>
      <c r="G58" t="s">
        <v>1027</v>
      </c>
      <c r="H58" s="10" t="s">
        <v>1054</v>
      </c>
      <c r="I58">
        <v>8</v>
      </c>
      <c r="J58">
        <v>50</v>
      </c>
      <c r="K58" t="str">
        <f t="shared" si="0"/>
        <v>50</v>
      </c>
      <c r="L58">
        <v>50</v>
      </c>
      <c r="M58">
        <v>1.3</v>
      </c>
      <c r="N58" t="b">
        <v>0</v>
      </c>
      <c r="O58">
        <v>0.76</v>
      </c>
      <c r="P58" s="6">
        <v>0.76</v>
      </c>
      <c r="Q58" t="s">
        <v>1038</v>
      </c>
      <c r="R58" t="s">
        <v>1025</v>
      </c>
      <c r="S58">
        <v>7</v>
      </c>
      <c r="T58">
        <v>5</v>
      </c>
    </row>
    <row r="59" spans="1:20" x14ac:dyDescent="0.25">
      <c r="A59" t="s">
        <v>145</v>
      </c>
      <c r="B59" t="s">
        <v>1189</v>
      </c>
      <c r="C59" t="s">
        <v>1190</v>
      </c>
      <c r="E59" t="s">
        <v>1709</v>
      </c>
      <c r="G59" t="s">
        <v>1027</v>
      </c>
      <c r="H59" s="10" t="s">
        <v>30</v>
      </c>
      <c r="I59">
        <v>17</v>
      </c>
      <c r="J59" t="s">
        <v>37</v>
      </c>
      <c r="K59" t="str">
        <f t="shared" si="0"/>
        <v>USD 40</v>
      </c>
      <c r="L59">
        <v>40</v>
      </c>
      <c r="M59">
        <v>4</v>
      </c>
      <c r="N59" t="b">
        <v>1</v>
      </c>
      <c r="O59">
        <v>0.9</v>
      </c>
      <c r="P59" s="6">
        <v>0.9</v>
      </c>
      <c r="Q59" t="s">
        <v>1046</v>
      </c>
      <c r="R59" t="s">
        <v>1042</v>
      </c>
      <c r="S59">
        <v>16</v>
      </c>
      <c r="T59">
        <v>11</v>
      </c>
    </row>
    <row r="60" spans="1:20" x14ac:dyDescent="0.25">
      <c r="A60" t="s">
        <v>147</v>
      </c>
      <c r="B60" t="s">
        <v>1170</v>
      </c>
      <c r="C60" t="s">
        <v>1191</v>
      </c>
      <c r="E60" t="s">
        <v>1710</v>
      </c>
      <c r="G60" t="s">
        <v>1056</v>
      </c>
      <c r="H60" s="10" t="s">
        <v>1028</v>
      </c>
      <c r="I60">
        <v>10</v>
      </c>
      <c r="J60">
        <v>75</v>
      </c>
      <c r="K60" t="str">
        <f t="shared" si="0"/>
        <v>75</v>
      </c>
      <c r="L60">
        <v>75</v>
      </c>
      <c r="M60">
        <v>3.6</v>
      </c>
      <c r="N60" t="b">
        <v>1</v>
      </c>
      <c r="O60">
        <v>0.65</v>
      </c>
      <c r="P60" s="6">
        <v>0.65</v>
      </c>
      <c r="Q60" t="s">
        <v>1045</v>
      </c>
      <c r="R60" t="s">
        <v>1029</v>
      </c>
      <c r="S60">
        <v>2</v>
      </c>
      <c r="T60">
        <v>4</v>
      </c>
    </row>
    <row r="61" spans="1:20" x14ac:dyDescent="0.25">
      <c r="A61" t="s">
        <v>149</v>
      </c>
      <c r="B61" t="s">
        <v>1192</v>
      </c>
      <c r="C61" t="s">
        <v>1193</v>
      </c>
      <c r="E61" t="s">
        <v>1711</v>
      </c>
      <c r="G61" t="s">
        <v>1068</v>
      </c>
      <c r="H61" s="10" t="s">
        <v>1054</v>
      </c>
      <c r="I61">
        <v>28</v>
      </c>
      <c r="J61">
        <v>40</v>
      </c>
      <c r="K61" t="str">
        <f t="shared" si="0"/>
        <v>40</v>
      </c>
      <c r="L61">
        <v>40</v>
      </c>
      <c r="M61">
        <v>3.9</v>
      </c>
      <c r="N61" t="b">
        <v>0</v>
      </c>
      <c r="O61">
        <v>0.63</v>
      </c>
      <c r="P61" s="6">
        <v>0.63</v>
      </c>
      <c r="Q61" t="s">
        <v>1046</v>
      </c>
      <c r="R61" t="s">
        <v>1032</v>
      </c>
      <c r="S61">
        <v>13</v>
      </c>
      <c r="T61">
        <v>6</v>
      </c>
    </row>
    <row r="62" spans="1:20" x14ac:dyDescent="0.25">
      <c r="A62" t="s">
        <v>151</v>
      </c>
      <c r="B62" t="s">
        <v>1194</v>
      </c>
      <c r="C62" t="s">
        <v>1195</v>
      </c>
      <c r="E62" t="s">
        <v>1712</v>
      </c>
      <c r="G62" t="s">
        <v>1040</v>
      </c>
      <c r="H62" s="10" t="s">
        <v>30</v>
      </c>
      <c r="I62">
        <v>33</v>
      </c>
      <c r="J62" t="s">
        <v>122</v>
      </c>
      <c r="K62" t="str">
        <f t="shared" si="0"/>
        <v>$75</v>
      </c>
      <c r="L62">
        <v>75</v>
      </c>
      <c r="M62">
        <v>0</v>
      </c>
      <c r="N62" t="b">
        <v>1</v>
      </c>
      <c r="P62" s="6">
        <v>0.78</v>
      </c>
      <c r="Q62" t="s">
        <v>1046</v>
      </c>
      <c r="R62" t="s">
        <v>1029</v>
      </c>
      <c r="S62">
        <v>14</v>
      </c>
      <c r="T62">
        <v>8</v>
      </c>
    </row>
    <row r="63" spans="1:20" x14ac:dyDescent="0.25">
      <c r="A63" t="s">
        <v>153</v>
      </c>
      <c r="B63" t="s">
        <v>1196</v>
      </c>
      <c r="C63" t="s">
        <v>1197</v>
      </c>
      <c r="E63" t="s">
        <v>1713</v>
      </c>
      <c r="G63" t="s">
        <v>1030</v>
      </c>
      <c r="H63" s="10" t="s">
        <v>30</v>
      </c>
      <c r="I63">
        <v>18</v>
      </c>
      <c r="J63">
        <v>75</v>
      </c>
      <c r="K63" t="str">
        <f t="shared" si="0"/>
        <v>75</v>
      </c>
      <c r="L63">
        <v>75</v>
      </c>
      <c r="M63">
        <v>0</v>
      </c>
      <c r="N63" t="b">
        <v>0</v>
      </c>
      <c r="P63" s="6">
        <v>0.78</v>
      </c>
      <c r="Q63" t="s">
        <v>1045</v>
      </c>
      <c r="R63" t="s">
        <v>1032</v>
      </c>
      <c r="S63">
        <v>11</v>
      </c>
      <c r="T63">
        <v>8</v>
      </c>
    </row>
    <row r="64" spans="1:20" x14ac:dyDescent="0.25">
      <c r="A64" t="s">
        <v>155</v>
      </c>
      <c r="B64" t="s">
        <v>1198</v>
      </c>
      <c r="C64" t="s">
        <v>1099</v>
      </c>
      <c r="E64" t="s">
        <v>1662</v>
      </c>
      <c r="G64" t="s">
        <v>1061</v>
      </c>
      <c r="H64" s="10" t="s">
        <v>1049</v>
      </c>
      <c r="I64">
        <v>16</v>
      </c>
      <c r="J64" t="s">
        <v>82</v>
      </c>
      <c r="K64" t="str">
        <f t="shared" si="0"/>
        <v>$20</v>
      </c>
      <c r="L64">
        <v>20</v>
      </c>
      <c r="M64">
        <v>2.2999999999999998</v>
      </c>
      <c r="N64" t="b">
        <v>1</v>
      </c>
      <c r="O64">
        <v>0.93</v>
      </c>
      <c r="P64" s="6">
        <v>0.93</v>
      </c>
      <c r="Q64" t="s">
        <v>1046</v>
      </c>
      <c r="R64" t="s">
        <v>1025</v>
      </c>
      <c r="S64">
        <v>15</v>
      </c>
      <c r="T64">
        <v>5</v>
      </c>
    </row>
    <row r="65" spans="1:20" x14ac:dyDescent="0.25">
      <c r="A65" t="s">
        <v>157</v>
      </c>
      <c r="B65" t="s">
        <v>1199</v>
      </c>
      <c r="C65" t="s">
        <v>1200</v>
      </c>
      <c r="E65" t="s">
        <v>1714</v>
      </c>
      <c r="G65" t="s">
        <v>1040</v>
      </c>
      <c r="H65" s="10" t="s">
        <v>1041</v>
      </c>
      <c r="I65">
        <v>35</v>
      </c>
      <c r="J65" t="s">
        <v>64</v>
      </c>
      <c r="K65" t="str">
        <f t="shared" si="0"/>
        <v>USD 50</v>
      </c>
      <c r="L65">
        <v>50</v>
      </c>
      <c r="M65">
        <v>4.7</v>
      </c>
      <c r="N65" t="s">
        <v>111</v>
      </c>
      <c r="O65">
        <v>0.7</v>
      </c>
      <c r="P65" s="6">
        <v>0.7</v>
      </c>
      <c r="Q65" t="s">
        <v>1045</v>
      </c>
      <c r="R65" t="s">
        <v>1032</v>
      </c>
      <c r="S65">
        <v>17</v>
      </c>
      <c r="T65">
        <v>13</v>
      </c>
    </row>
    <row r="66" spans="1:20" x14ac:dyDescent="0.25">
      <c r="A66" t="s">
        <v>159</v>
      </c>
      <c r="B66" t="s">
        <v>1201</v>
      </c>
      <c r="C66" t="s">
        <v>1163</v>
      </c>
      <c r="E66" t="s">
        <v>1694</v>
      </c>
      <c r="G66" t="s">
        <v>1061</v>
      </c>
      <c r="H66" s="10" t="s">
        <v>30</v>
      </c>
      <c r="I66">
        <v>14</v>
      </c>
      <c r="K66" t="str">
        <f t="shared" ref="K66:K129" si="1">TRIM(J66)</f>
        <v/>
      </c>
      <c r="L66">
        <v>70</v>
      </c>
      <c r="M66">
        <v>3.5</v>
      </c>
      <c r="N66" t="b">
        <v>1</v>
      </c>
      <c r="O66">
        <v>0.83</v>
      </c>
      <c r="P66" s="6">
        <v>0.83</v>
      </c>
      <c r="Q66" t="s">
        <v>1046</v>
      </c>
      <c r="R66" t="s">
        <v>1025</v>
      </c>
      <c r="S66">
        <v>13</v>
      </c>
      <c r="T66">
        <v>8</v>
      </c>
    </row>
    <row r="67" spans="1:20" x14ac:dyDescent="0.25">
      <c r="A67" t="s">
        <v>161</v>
      </c>
      <c r="B67" t="s">
        <v>1202</v>
      </c>
      <c r="C67" t="s">
        <v>1203</v>
      </c>
      <c r="E67" t="s">
        <v>1715</v>
      </c>
      <c r="G67" t="s">
        <v>1048</v>
      </c>
      <c r="H67" s="10" t="s">
        <v>1033</v>
      </c>
      <c r="I67">
        <v>12</v>
      </c>
      <c r="J67">
        <v>40</v>
      </c>
      <c r="K67" t="str">
        <f t="shared" si="1"/>
        <v>40</v>
      </c>
      <c r="L67">
        <v>40</v>
      </c>
      <c r="M67">
        <v>2.4</v>
      </c>
      <c r="N67" t="b">
        <v>1</v>
      </c>
      <c r="O67">
        <v>64</v>
      </c>
      <c r="P67" s="6">
        <v>0.64</v>
      </c>
      <c r="Q67" t="s">
        <v>1045</v>
      </c>
      <c r="R67" t="s">
        <v>1029</v>
      </c>
      <c r="S67">
        <v>14</v>
      </c>
      <c r="T67">
        <v>12</v>
      </c>
    </row>
    <row r="68" spans="1:20" x14ac:dyDescent="0.25">
      <c r="A68" t="s">
        <v>163</v>
      </c>
      <c r="B68" t="s">
        <v>1204</v>
      </c>
      <c r="C68" t="s">
        <v>1205</v>
      </c>
      <c r="E68" t="s">
        <v>1716</v>
      </c>
      <c r="G68" t="s">
        <v>1058</v>
      </c>
      <c r="H68" s="10" t="s">
        <v>30</v>
      </c>
      <c r="I68">
        <v>11</v>
      </c>
      <c r="J68" t="s">
        <v>34</v>
      </c>
      <c r="K68" t="str">
        <f t="shared" si="1"/>
        <v>USD 75</v>
      </c>
      <c r="L68">
        <v>75</v>
      </c>
      <c r="M68">
        <v>4</v>
      </c>
      <c r="N68" t="b">
        <v>0</v>
      </c>
      <c r="O68">
        <v>1</v>
      </c>
      <c r="P68" s="6">
        <v>1</v>
      </c>
      <c r="Q68" t="s">
        <v>1038</v>
      </c>
      <c r="R68" t="s">
        <v>1025</v>
      </c>
      <c r="S68">
        <v>9</v>
      </c>
      <c r="T68">
        <v>2</v>
      </c>
    </row>
    <row r="69" spans="1:20" x14ac:dyDescent="0.25">
      <c r="A69" t="s">
        <v>165</v>
      </c>
      <c r="B69" t="s">
        <v>1206</v>
      </c>
      <c r="C69" t="s">
        <v>1207</v>
      </c>
      <c r="E69" t="s">
        <v>1717</v>
      </c>
      <c r="G69" t="s">
        <v>1058</v>
      </c>
      <c r="H69" s="10" t="s">
        <v>1033</v>
      </c>
      <c r="I69">
        <v>0</v>
      </c>
      <c r="J69" t="s">
        <v>26</v>
      </c>
      <c r="K69" t="str">
        <f t="shared" si="1"/>
        <v>$40</v>
      </c>
      <c r="L69">
        <v>40</v>
      </c>
      <c r="M69">
        <v>0</v>
      </c>
      <c r="N69" t="b">
        <v>1</v>
      </c>
      <c r="P69" s="6">
        <v>0.78</v>
      </c>
      <c r="Q69" t="s">
        <v>1024</v>
      </c>
      <c r="R69" t="s">
        <v>1029</v>
      </c>
      <c r="S69">
        <v>5</v>
      </c>
      <c r="T69">
        <v>5</v>
      </c>
    </row>
    <row r="70" spans="1:20" x14ac:dyDescent="0.25">
      <c r="A70" t="s">
        <v>167</v>
      </c>
      <c r="B70" t="s">
        <v>1208</v>
      </c>
      <c r="C70" t="s">
        <v>1209</v>
      </c>
      <c r="E70" t="s">
        <v>1718</v>
      </c>
      <c r="G70" t="s">
        <v>1048</v>
      </c>
      <c r="H70" s="10" t="s">
        <v>1049</v>
      </c>
      <c r="I70">
        <v>6</v>
      </c>
      <c r="J70">
        <v>100</v>
      </c>
      <c r="K70" t="str">
        <f t="shared" si="1"/>
        <v>100</v>
      </c>
      <c r="L70">
        <v>100</v>
      </c>
      <c r="M70">
        <v>1.5</v>
      </c>
      <c r="N70" t="b">
        <v>0</v>
      </c>
      <c r="P70" s="6">
        <v>0.78</v>
      </c>
      <c r="Q70" t="s">
        <v>1045</v>
      </c>
      <c r="R70" t="s">
        <v>1042</v>
      </c>
      <c r="S70">
        <v>8</v>
      </c>
      <c r="T70">
        <v>2</v>
      </c>
    </row>
    <row r="71" spans="1:20" x14ac:dyDescent="0.25">
      <c r="A71" t="s">
        <v>169</v>
      </c>
      <c r="B71" t="s">
        <v>1210</v>
      </c>
      <c r="C71" t="s">
        <v>1211</v>
      </c>
      <c r="E71" t="s">
        <v>1719</v>
      </c>
      <c r="G71" t="s">
        <v>1070</v>
      </c>
      <c r="H71" s="10" t="s">
        <v>1049</v>
      </c>
      <c r="I71">
        <v>38</v>
      </c>
      <c r="J71" t="s">
        <v>82</v>
      </c>
      <c r="K71" t="str">
        <f t="shared" si="1"/>
        <v>$20</v>
      </c>
      <c r="L71">
        <v>20</v>
      </c>
      <c r="M71">
        <v>2</v>
      </c>
      <c r="N71" t="s">
        <v>111</v>
      </c>
      <c r="O71">
        <v>0.71</v>
      </c>
      <c r="P71" s="6">
        <v>0.71</v>
      </c>
      <c r="Q71" t="s">
        <v>1045</v>
      </c>
      <c r="R71" t="s">
        <v>1042</v>
      </c>
      <c r="S71">
        <v>19</v>
      </c>
      <c r="T71">
        <v>7</v>
      </c>
    </row>
    <row r="72" spans="1:20" x14ac:dyDescent="0.25">
      <c r="A72" t="s">
        <v>171</v>
      </c>
      <c r="B72" t="s">
        <v>1212</v>
      </c>
      <c r="C72" t="s">
        <v>1213</v>
      </c>
      <c r="E72" t="s">
        <v>1720</v>
      </c>
      <c r="G72" t="s">
        <v>1068</v>
      </c>
      <c r="H72" s="10" t="s">
        <v>1028</v>
      </c>
      <c r="I72">
        <v>11</v>
      </c>
      <c r="K72" t="str">
        <f t="shared" si="1"/>
        <v/>
      </c>
      <c r="L72">
        <v>70</v>
      </c>
      <c r="M72">
        <v>2.4</v>
      </c>
      <c r="N72" t="b">
        <v>1</v>
      </c>
      <c r="O72">
        <v>0.84</v>
      </c>
      <c r="P72" s="6">
        <v>0.84</v>
      </c>
      <c r="Q72" t="s">
        <v>1024</v>
      </c>
      <c r="R72" t="s">
        <v>1042</v>
      </c>
      <c r="S72">
        <v>6</v>
      </c>
      <c r="T72">
        <v>3</v>
      </c>
    </row>
    <row r="73" spans="1:20" x14ac:dyDescent="0.25">
      <c r="A73" t="s">
        <v>173</v>
      </c>
      <c r="B73" t="s">
        <v>1214</v>
      </c>
      <c r="C73" t="s">
        <v>1215</v>
      </c>
      <c r="E73" t="s">
        <v>1721</v>
      </c>
      <c r="G73" t="s">
        <v>1022</v>
      </c>
      <c r="H73" s="10" t="s">
        <v>1054</v>
      </c>
      <c r="I73">
        <v>13</v>
      </c>
      <c r="J73" t="s">
        <v>64</v>
      </c>
      <c r="K73" t="str">
        <f t="shared" si="1"/>
        <v>USD 50</v>
      </c>
      <c r="L73">
        <v>50</v>
      </c>
      <c r="M73">
        <v>1</v>
      </c>
      <c r="N73" t="b">
        <v>0</v>
      </c>
      <c r="P73" s="6">
        <v>0.78</v>
      </c>
      <c r="Q73" t="s">
        <v>1045</v>
      </c>
      <c r="R73" t="s">
        <v>1025</v>
      </c>
      <c r="S73">
        <v>15</v>
      </c>
      <c r="T73">
        <v>1</v>
      </c>
    </row>
    <row r="74" spans="1:20" x14ac:dyDescent="0.25">
      <c r="A74" t="s">
        <v>175</v>
      </c>
      <c r="B74" t="s">
        <v>1216</v>
      </c>
      <c r="C74" t="s">
        <v>1217</v>
      </c>
      <c r="E74" t="s">
        <v>1722</v>
      </c>
      <c r="G74" t="s">
        <v>1027</v>
      </c>
      <c r="H74" s="10" t="s">
        <v>1033</v>
      </c>
      <c r="I74">
        <v>9</v>
      </c>
      <c r="J74" t="s">
        <v>177</v>
      </c>
      <c r="K74" t="str">
        <f t="shared" si="1"/>
        <v>$100</v>
      </c>
      <c r="L74">
        <v>100</v>
      </c>
      <c r="M74">
        <v>4.5</v>
      </c>
      <c r="N74" t="b">
        <v>1</v>
      </c>
      <c r="O74">
        <v>0.69</v>
      </c>
      <c r="P74" s="6">
        <v>0.69</v>
      </c>
      <c r="Q74" t="s">
        <v>1045</v>
      </c>
      <c r="R74" t="s">
        <v>1042</v>
      </c>
      <c r="S74">
        <v>11</v>
      </c>
      <c r="T74">
        <v>10</v>
      </c>
    </row>
    <row r="75" spans="1:20" x14ac:dyDescent="0.25">
      <c r="A75" t="s">
        <v>178</v>
      </c>
      <c r="B75" t="s">
        <v>1218</v>
      </c>
      <c r="C75" t="s">
        <v>1219</v>
      </c>
      <c r="E75" t="s">
        <v>1723</v>
      </c>
      <c r="G75" t="s">
        <v>1027</v>
      </c>
      <c r="H75" s="10" t="s">
        <v>1023</v>
      </c>
      <c r="I75">
        <v>4</v>
      </c>
      <c r="K75" t="str">
        <f t="shared" si="1"/>
        <v/>
      </c>
      <c r="L75">
        <v>70</v>
      </c>
      <c r="M75">
        <v>1.9</v>
      </c>
      <c r="N75" t="b">
        <v>0</v>
      </c>
      <c r="O75">
        <v>88</v>
      </c>
      <c r="P75" s="6">
        <v>0.88</v>
      </c>
      <c r="Q75" t="s">
        <v>1046</v>
      </c>
      <c r="R75" t="s">
        <v>1032</v>
      </c>
      <c r="S75">
        <v>5</v>
      </c>
      <c r="T75">
        <v>1</v>
      </c>
    </row>
    <row r="76" spans="1:20" x14ac:dyDescent="0.25">
      <c r="A76" t="s">
        <v>180</v>
      </c>
      <c r="B76" t="s">
        <v>1220</v>
      </c>
      <c r="C76" t="s">
        <v>1221</v>
      </c>
      <c r="E76" t="s">
        <v>1724</v>
      </c>
      <c r="G76" t="s">
        <v>1022</v>
      </c>
      <c r="H76" s="10" t="s">
        <v>1035</v>
      </c>
      <c r="I76">
        <v>14</v>
      </c>
      <c r="J76" t="s">
        <v>177</v>
      </c>
      <c r="K76" t="str">
        <f t="shared" si="1"/>
        <v>$100</v>
      </c>
      <c r="L76">
        <v>100</v>
      </c>
      <c r="M76">
        <v>3.7</v>
      </c>
      <c r="N76" t="b">
        <v>0</v>
      </c>
      <c r="P76" s="6">
        <v>0.78</v>
      </c>
      <c r="Q76" t="s">
        <v>1024</v>
      </c>
      <c r="R76" t="s">
        <v>1029</v>
      </c>
      <c r="S76">
        <v>9</v>
      </c>
      <c r="T76">
        <v>5</v>
      </c>
    </row>
    <row r="77" spans="1:20" x14ac:dyDescent="0.25">
      <c r="A77" t="s">
        <v>182</v>
      </c>
      <c r="B77" t="s">
        <v>1222</v>
      </c>
      <c r="C77" t="s">
        <v>1223</v>
      </c>
      <c r="E77" t="s">
        <v>1725</v>
      </c>
      <c r="G77" t="s">
        <v>1056</v>
      </c>
      <c r="H77" s="10" t="s">
        <v>1041</v>
      </c>
      <c r="I77">
        <v>10</v>
      </c>
      <c r="J77">
        <v>30</v>
      </c>
      <c r="K77" t="str">
        <f t="shared" si="1"/>
        <v>30</v>
      </c>
      <c r="L77">
        <v>30</v>
      </c>
      <c r="M77">
        <v>1.9</v>
      </c>
      <c r="N77" t="b">
        <v>1</v>
      </c>
      <c r="O77">
        <v>0.96</v>
      </c>
      <c r="P77" s="6">
        <v>0.96</v>
      </c>
      <c r="Q77" t="s">
        <v>1038</v>
      </c>
      <c r="R77" t="s">
        <v>1029</v>
      </c>
      <c r="S77">
        <v>2</v>
      </c>
      <c r="T77">
        <v>2</v>
      </c>
    </row>
    <row r="78" spans="1:20" x14ac:dyDescent="0.25">
      <c r="A78" t="s">
        <v>184</v>
      </c>
      <c r="B78" t="s">
        <v>1145</v>
      </c>
      <c r="C78" t="s">
        <v>1224</v>
      </c>
      <c r="E78" t="s">
        <v>1726</v>
      </c>
      <c r="G78" t="s">
        <v>1027</v>
      </c>
      <c r="H78" s="10" t="s">
        <v>30</v>
      </c>
      <c r="I78">
        <v>9</v>
      </c>
      <c r="J78" t="s">
        <v>34</v>
      </c>
      <c r="K78" t="str">
        <f t="shared" si="1"/>
        <v>USD 75</v>
      </c>
      <c r="L78">
        <v>75</v>
      </c>
      <c r="M78">
        <v>4</v>
      </c>
      <c r="N78" t="b">
        <v>1</v>
      </c>
      <c r="O78">
        <v>96</v>
      </c>
      <c r="P78" s="6">
        <v>0.96</v>
      </c>
      <c r="Q78" t="s">
        <v>1045</v>
      </c>
      <c r="R78" t="s">
        <v>1032</v>
      </c>
      <c r="S78">
        <v>14</v>
      </c>
      <c r="T78">
        <v>5</v>
      </c>
    </row>
    <row r="79" spans="1:20" x14ac:dyDescent="0.25">
      <c r="A79" t="s">
        <v>186</v>
      </c>
      <c r="B79" t="s">
        <v>1225</v>
      </c>
      <c r="C79" t="s">
        <v>1226</v>
      </c>
      <c r="E79" t="s">
        <v>1727</v>
      </c>
      <c r="G79" t="s">
        <v>1048</v>
      </c>
      <c r="H79" s="10" t="s">
        <v>1054</v>
      </c>
      <c r="I79">
        <v>32</v>
      </c>
      <c r="J79" t="s">
        <v>37</v>
      </c>
      <c r="K79" t="str">
        <f t="shared" si="1"/>
        <v>USD 40</v>
      </c>
      <c r="L79">
        <v>40</v>
      </c>
      <c r="M79">
        <v>1.8</v>
      </c>
      <c r="N79" t="b">
        <v>0</v>
      </c>
      <c r="P79" s="6">
        <v>0.78</v>
      </c>
      <c r="Q79" t="s">
        <v>1024</v>
      </c>
      <c r="R79" t="s">
        <v>1025</v>
      </c>
      <c r="S79">
        <v>10</v>
      </c>
      <c r="T79">
        <v>7</v>
      </c>
    </row>
    <row r="80" spans="1:20" x14ac:dyDescent="0.25">
      <c r="A80" t="s">
        <v>188</v>
      </c>
      <c r="B80" t="s">
        <v>1227</v>
      </c>
      <c r="C80" t="s">
        <v>1228</v>
      </c>
      <c r="E80" t="s">
        <v>1728</v>
      </c>
      <c r="G80" t="s">
        <v>1027</v>
      </c>
      <c r="H80" s="10" t="s">
        <v>1031</v>
      </c>
      <c r="I80">
        <v>9</v>
      </c>
      <c r="K80" t="str">
        <f t="shared" si="1"/>
        <v/>
      </c>
      <c r="L80">
        <v>70</v>
      </c>
      <c r="M80">
        <v>0</v>
      </c>
      <c r="N80" t="b">
        <v>1</v>
      </c>
      <c r="O80">
        <v>0.89</v>
      </c>
      <c r="P80" s="6">
        <v>0.89</v>
      </c>
      <c r="Q80" t="s">
        <v>1046</v>
      </c>
      <c r="R80" t="s">
        <v>1025</v>
      </c>
      <c r="S80">
        <v>14</v>
      </c>
      <c r="T80">
        <v>6</v>
      </c>
    </row>
    <row r="81" spans="1:20" x14ac:dyDescent="0.25">
      <c r="A81" t="s">
        <v>190</v>
      </c>
      <c r="B81" t="s">
        <v>1229</v>
      </c>
      <c r="C81" t="s">
        <v>1230</v>
      </c>
      <c r="E81" t="s">
        <v>1729</v>
      </c>
      <c r="G81" t="s">
        <v>1056</v>
      </c>
      <c r="H81" s="10" t="s">
        <v>1035</v>
      </c>
      <c r="I81">
        <v>21</v>
      </c>
      <c r="J81" t="s">
        <v>177</v>
      </c>
      <c r="K81" t="str">
        <f t="shared" si="1"/>
        <v>$100</v>
      </c>
      <c r="L81">
        <v>100</v>
      </c>
      <c r="M81">
        <v>4.5999999999999996</v>
      </c>
      <c r="N81" t="b">
        <v>0</v>
      </c>
      <c r="P81" s="6">
        <v>0.78</v>
      </c>
      <c r="Q81" t="s">
        <v>1038</v>
      </c>
      <c r="R81" t="s">
        <v>1029</v>
      </c>
      <c r="S81">
        <v>20</v>
      </c>
      <c r="T81">
        <v>3</v>
      </c>
    </row>
    <row r="82" spans="1:20" x14ac:dyDescent="0.25">
      <c r="A82" t="s">
        <v>192</v>
      </c>
      <c r="B82" t="s">
        <v>1231</v>
      </c>
      <c r="C82" t="s">
        <v>1163</v>
      </c>
      <c r="E82" t="s">
        <v>1694</v>
      </c>
      <c r="G82" t="s">
        <v>1048</v>
      </c>
      <c r="H82" s="10" t="s">
        <v>1049</v>
      </c>
      <c r="I82">
        <v>12</v>
      </c>
      <c r="J82">
        <v>100</v>
      </c>
      <c r="K82" t="str">
        <f t="shared" si="1"/>
        <v>100</v>
      </c>
      <c r="L82">
        <v>100</v>
      </c>
      <c r="M82">
        <v>3.6</v>
      </c>
      <c r="N82" t="b">
        <v>0</v>
      </c>
      <c r="O82">
        <v>0.63</v>
      </c>
      <c r="P82" s="6">
        <v>0.63</v>
      </c>
      <c r="Q82" t="s">
        <v>1024</v>
      </c>
      <c r="R82" t="s">
        <v>1042</v>
      </c>
      <c r="S82">
        <v>10</v>
      </c>
      <c r="T82">
        <v>2</v>
      </c>
    </row>
    <row r="83" spans="1:20" x14ac:dyDescent="0.25">
      <c r="A83" t="s">
        <v>194</v>
      </c>
      <c r="B83" t="s">
        <v>1232</v>
      </c>
      <c r="C83" t="s">
        <v>1233</v>
      </c>
      <c r="E83" t="s">
        <v>1730</v>
      </c>
      <c r="G83" t="s">
        <v>1066</v>
      </c>
      <c r="H83" s="10" t="s">
        <v>1033</v>
      </c>
      <c r="I83">
        <v>7</v>
      </c>
      <c r="J83" t="s">
        <v>37</v>
      </c>
      <c r="K83" t="str">
        <f t="shared" si="1"/>
        <v>USD 40</v>
      </c>
      <c r="L83">
        <v>40</v>
      </c>
      <c r="M83">
        <v>4.4000000000000004</v>
      </c>
      <c r="N83" t="b">
        <v>0</v>
      </c>
      <c r="O83">
        <v>81</v>
      </c>
      <c r="P83" s="6">
        <v>0.81</v>
      </c>
      <c r="Q83" t="s">
        <v>1038</v>
      </c>
      <c r="R83" t="s">
        <v>1025</v>
      </c>
      <c r="S83">
        <v>11</v>
      </c>
      <c r="T83">
        <v>8</v>
      </c>
    </row>
    <row r="84" spans="1:20" x14ac:dyDescent="0.25">
      <c r="A84" t="s">
        <v>196</v>
      </c>
      <c r="B84" t="s">
        <v>1234</v>
      </c>
      <c r="C84" t="s">
        <v>1235</v>
      </c>
      <c r="E84" t="s">
        <v>1731</v>
      </c>
      <c r="G84" t="s">
        <v>1070</v>
      </c>
      <c r="H84" s="10" t="s">
        <v>1054</v>
      </c>
      <c r="I84">
        <v>3</v>
      </c>
      <c r="J84">
        <v>40</v>
      </c>
      <c r="K84" t="str">
        <f t="shared" si="1"/>
        <v>40</v>
      </c>
      <c r="L84">
        <v>40</v>
      </c>
      <c r="M84">
        <v>4.5999999999999996</v>
      </c>
      <c r="N84" t="b">
        <v>0</v>
      </c>
      <c r="O84">
        <v>0.74</v>
      </c>
      <c r="P84" s="6">
        <v>0.74</v>
      </c>
      <c r="Q84" t="s">
        <v>1038</v>
      </c>
      <c r="R84" t="s">
        <v>1025</v>
      </c>
      <c r="S84">
        <v>1</v>
      </c>
      <c r="T84">
        <v>1</v>
      </c>
    </row>
    <row r="85" spans="1:20" x14ac:dyDescent="0.25">
      <c r="A85" t="s">
        <v>198</v>
      </c>
      <c r="B85" t="s">
        <v>1148</v>
      </c>
      <c r="C85" t="s">
        <v>1236</v>
      </c>
      <c r="E85" t="s">
        <v>1732</v>
      </c>
      <c r="G85" t="s">
        <v>1059</v>
      </c>
      <c r="H85" s="10" t="s">
        <v>1033</v>
      </c>
      <c r="I85">
        <v>5</v>
      </c>
      <c r="J85" t="s">
        <v>122</v>
      </c>
      <c r="K85" t="str">
        <f t="shared" si="1"/>
        <v>$75</v>
      </c>
      <c r="L85">
        <v>75</v>
      </c>
      <c r="M85">
        <v>3.2</v>
      </c>
      <c r="N85" t="b">
        <v>0</v>
      </c>
      <c r="O85">
        <v>0.72</v>
      </c>
      <c r="P85" s="6">
        <v>0.72</v>
      </c>
      <c r="Q85" t="s">
        <v>1038</v>
      </c>
      <c r="R85" t="s">
        <v>1032</v>
      </c>
      <c r="S85">
        <v>2</v>
      </c>
      <c r="T85">
        <v>1</v>
      </c>
    </row>
    <row r="86" spans="1:20" x14ac:dyDescent="0.25">
      <c r="A86" t="s">
        <v>200</v>
      </c>
      <c r="B86" t="s">
        <v>1237</v>
      </c>
      <c r="C86" t="s">
        <v>1238</v>
      </c>
      <c r="E86" t="s">
        <v>1733</v>
      </c>
      <c r="G86" t="s">
        <v>1059</v>
      </c>
      <c r="H86" s="10" t="s">
        <v>30</v>
      </c>
      <c r="I86">
        <v>30</v>
      </c>
      <c r="J86" t="s">
        <v>26</v>
      </c>
      <c r="K86" t="str">
        <f t="shared" si="1"/>
        <v>$40</v>
      </c>
      <c r="L86">
        <v>40</v>
      </c>
      <c r="M86">
        <v>0</v>
      </c>
      <c r="N86" t="b">
        <v>1</v>
      </c>
      <c r="P86" s="6">
        <v>0.78</v>
      </c>
      <c r="Q86" t="s">
        <v>1045</v>
      </c>
      <c r="R86" t="s">
        <v>1032</v>
      </c>
      <c r="S86">
        <v>13</v>
      </c>
      <c r="T86">
        <v>13</v>
      </c>
    </row>
    <row r="87" spans="1:20" x14ac:dyDescent="0.25">
      <c r="A87" t="s">
        <v>202</v>
      </c>
      <c r="B87" t="s">
        <v>1239</v>
      </c>
      <c r="C87" t="s">
        <v>1240</v>
      </c>
      <c r="E87" t="s">
        <v>1734</v>
      </c>
      <c r="G87" t="s">
        <v>1070</v>
      </c>
      <c r="H87" s="10" t="s">
        <v>1054</v>
      </c>
      <c r="I87">
        <v>2</v>
      </c>
      <c r="J87">
        <v>100</v>
      </c>
      <c r="K87" t="str">
        <f t="shared" si="1"/>
        <v>100</v>
      </c>
      <c r="L87">
        <v>100</v>
      </c>
      <c r="M87">
        <v>2.6</v>
      </c>
      <c r="N87" t="b">
        <v>1</v>
      </c>
      <c r="O87">
        <v>0.85</v>
      </c>
      <c r="P87" s="6">
        <v>0.85</v>
      </c>
      <c r="Q87" t="s">
        <v>1045</v>
      </c>
      <c r="R87" t="s">
        <v>1042</v>
      </c>
      <c r="S87">
        <v>5</v>
      </c>
      <c r="T87">
        <v>3</v>
      </c>
    </row>
    <row r="88" spans="1:20" x14ac:dyDescent="0.25">
      <c r="A88" t="s">
        <v>204</v>
      </c>
      <c r="B88" t="s">
        <v>1127</v>
      </c>
      <c r="C88" t="s">
        <v>1241</v>
      </c>
      <c r="E88" t="s">
        <v>1735</v>
      </c>
      <c r="G88" t="s">
        <v>1027</v>
      </c>
      <c r="H88" s="10" t="s">
        <v>1028</v>
      </c>
      <c r="I88">
        <v>2</v>
      </c>
      <c r="J88" t="s">
        <v>122</v>
      </c>
      <c r="K88" t="str">
        <f t="shared" si="1"/>
        <v>$75</v>
      </c>
      <c r="L88">
        <v>75</v>
      </c>
      <c r="M88">
        <v>3.7</v>
      </c>
      <c r="N88" t="b">
        <v>0</v>
      </c>
      <c r="P88" s="6">
        <v>0.78</v>
      </c>
      <c r="Q88" t="s">
        <v>1046</v>
      </c>
      <c r="R88" t="s">
        <v>1025</v>
      </c>
      <c r="S88">
        <v>1</v>
      </c>
      <c r="T88">
        <v>1</v>
      </c>
    </row>
    <row r="89" spans="1:20" x14ac:dyDescent="0.25">
      <c r="A89" t="s">
        <v>206</v>
      </c>
      <c r="B89" t="s">
        <v>1242</v>
      </c>
      <c r="C89" t="s">
        <v>1143</v>
      </c>
      <c r="E89" t="s">
        <v>1684</v>
      </c>
      <c r="G89" t="s">
        <v>1048</v>
      </c>
      <c r="H89" s="10" t="s">
        <v>1033</v>
      </c>
      <c r="I89">
        <v>19</v>
      </c>
      <c r="J89">
        <v>75</v>
      </c>
      <c r="K89" t="str">
        <f t="shared" si="1"/>
        <v>75</v>
      </c>
      <c r="L89">
        <v>75</v>
      </c>
      <c r="M89">
        <v>2.2999999999999998</v>
      </c>
      <c r="N89" t="b">
        <v>0</v>
      </c>
      <c r="O89">
        <v>0.61</v>
      </c>
      <c r="P89" s="6">
        <v>0.61</v>
      </c>
      <c r="Q89" t="s">
        <v>1046</v>
      </c>
      <c r="R89" t="s">
        <v>1025</v>
      </c>
      <c r="S89">
        <v>20</v>
      </c>
      <c r="T89">
        <v>9</v>
      </c>
    </row>
    <row r="90" spans="1:20" x14ac:dyDescent="0.25">
      <c r="A90" t="s">
        <v>208</v>
      </c>
      <c r="B90" t="s">
        <v>1243</v>
      </c>
      <c r="C90" t="s">
        <v>1244</v>
      </c>
      <c r="E90" t="s">
        <v>1736</v>
      </c>
      <c r="G90" t="s">
        <v>1061</v>
      </c>
      <c r="H90" s="10" t="s">
        <v>30</v>
      </c>
      <c r="I90">
        <v>16</v>
      </c>
      <c r="J90">
        <v>100</v>
      </c>
      <c r="K90" t="str">
        <f t="shared" si="1"/>
        <v>100</v>
      </c>
      <c r="L90">
        <v>100</v>
      </c>
      <c r="M90">
        <v>3.1</v>
      </c>
      <c r="N90" t="b">
        <v>0</v>
      </c>
      <c r="P90" s="6">
        <v>0.78</v>
      </c>
      <c r="Q90" t="s">
        <v>1024</v>
      </c>
      <c r="R90" t="s">
        <v>1032</v>
      </c>
      <c r="S90">
        <v>18</v>
      </c>
      <c r="T90">
        <v>4</v>
      </c>
    </row>
    <row r="91" spans="1:20" x14ac:dyDescent="0.25">
      <c r="A91" t="s">
        <v>210</v>
      </c>
      <c r="B91" t="s">
        <v>1106</v>
      </c>
      <c r="C91" t="s">
        <v>1143</v>
      </c>
      <c r="E91" t="s">
        <v>1684</v>
      </c>
      <c r="G91" t="s">
        <v>1056</v>
      </c>
      <c r="H91" s="10" t="s">
        <v>1028</v>
      </c>
      <c r="I91">
        <v>10</v>
      </c>
      <c r="J91" t="s">
        <v>82</v>
      </c>
      <c r="K91" t="str">
        <f t="shared" si="1"/>
        <v>$20</v>
      </c>
      <c r="L91">
        <v>20</v>
      </c>
      <c r="M91">
        <v>2.4</v>
      </c>
      <c r="N91" t="b">
        <v>0</v>
      </c>
      <c r="O91">
        <v>0.86</v>
      </c>
      <c r="P91" s="6">
        <v>0.86</v>
      </c>
      <c r="Q91" t="s">
        <v>1046</v>
      </c>
      <c r="R91" t="s">
        <v>1025</v>
      </c>
      <c r="S91">
        <v>9</v>
      </c>
      <c r="T91">
        <v>3</v>
      </c>
    </row>
    <row r="92" spans="1:20" x14ac:dyDescent="0.25">
      <c r="A92" t="s">
        <v>212</v>
      </c>
      <c r="B92" t="s">
        <v>1245</v>
      </c>
      <c r="C92" t="s">
        <v>1246</v>
      </c>
      <c r="E92" t="s">
        <v>1737</v>
      </c>
      <c r="G92" t="s">
        <v>1022</v>
      </c>
      <c r="H92" s="10" t="s">
        <v>1054</v>
      </c>
      <c r="I92">
        <v>2</v>
      </c>
      <c r="J92" t="s">
        <v>21</v>
      </c>
      <c r="K92" t="str">
        <f t="shared" si="1"/>
        <v>USD 100</v>
      </c>
      <c r="L92">
        <v>100</v>
      </c>
      <c r="M92">
        <v>1.6</v>
      </c>
      <c r="N92" t="b">
        <v>1</v>
      </c>
      <c r="O92">
        <v>0.97</v>
      </c>
      <c r="P92" s="6">
        <v>0.97</v>
      </c>
      <c r="Q92" t="s">
        <v>1038</v>
      </c>
      <c r="R92" t="s">
        <v>1029</v>
      </c>
      <c r="S92">
        <v>4</v>
      </c>
      <c r="T92">
        <v>2</v>
      </c>
    </row>
    <row r="93" spans="1:20" x14ac:dyDescent="0.25">
      <c r="A93" t="s">
        <v>214</v>
      </c>
      <c r="B93" t="s">
        <v>1247</v>
      </c>
      <c r="C93" t="s">
        <v>1248</v>
      </c>
      <c r="E93" t="s">
        <v>1738</v>
      </c>
      <c r="G93" t="s">
        <v>1027</v>
      </c>
      <c r="H93" s="10" t="s">
        <v>1050</v>
      </c>
      <c r="I93">
        <v>18</v>
      </c>
      <c r="J93">
        <v>50</v>
      </c>
      <c r="K93" t="str">
        <f t="shared" si="1"/>
        <v>50</v>
      </c>
      <c r="L93">
        <v>50</v>
      </c>
      <c r="M93">
        <v>2.4</v>
      </c>
      <c r="N93" t="b">
        <v>1</v>
      </c>
      <c r="O93">
        <v>0.63</v>
      </c>
      <c r="P93" s="6">
        <v>0.63</v>
      </c>
      <c r="Q93" t="s">
        <v>1038</v>
      </c>
      <c r="R93" t="s">
        <v>1032</v>
      </c>
      <c r="S93">
        <v>11</v>
      </c>
      <c r="T93">
        <v>9</v>
      </c>
    </row>
    <row r="94" spans="1:20" x14ac:dyDescent="0.25">
      <c r="A94" t="s">
        <v>216</v>
      </c>
      <c r="B94" t="s">
        <v>1249</v>
      </c>
      <c r="C94" t="s">
        <v>1250</v>
      </c>
      <c r="E94" t="s">
        <v>1739</v>
      </c>
      <c r="G94" t="s">
        <v>1070</v>
      </c>
      <c r="H94" s="10" t="s">
        <v>1049</v>
      </c>
      <c r="I94">
        <v>21</v>
      </c>
      <c r="J94" t="s">
        <v>21</v>
      </c>
      <c r="K94" t="str">
        <f t="shared" si="1"/>
        <v>USD 100</v>
      </c>
      <c r="L94">
        <v>100</v>
      </c>
      <c r="M94">
        <v>2.4</v>
      </c>
      <c r="N94" t="b">
        <v>1</v>
      </c>
      <c r="O94">
        <v>0.97</v>
      </c>
      <c r="P94" s="6">
        <v>0.97</v>
      </c>
      <c r="Q94" t="s">
        <v>1045</v>
      </c>
      <c r="R94" t="s">
        <v>1042</v>
      </c>
      <c r="S94">
        <v>20</v>
      </c>
      <c r="T94">
        <v>10</v>
      </c>
    </row>
    <row r="95" spans="1:20" x14ac:dyDescent="0.25">
      <c r="A95" t="s">
        <v>218</v>
      </c>
      <c r="B95" t="s">
        <v>1251</v>
      </c>
      <c r="C95" t="s">
        <v>1141</v>
      </c>
      <c r="E95" t="s">
        <v>1683</v>
      </c>
      <c r="G95" t="s">
        <v>1061</v>
      </c>
      <c r="H95" s="10" t="s">
        <v>1023</v>
      </c>
      <c r="I95">
        <v>3</v>
      </c>
      <c r="J95" t="s">
        <v>73</v>
      </c>
      <c r="K95" t="str">
        <f t="shared" si="1"/>
        <v>USD 30</v>
      </c>
      <c r="L95">
        <v>30</v>
      </c>
      <c r="M95">
        <v>3.8</v>
      </c>
      <c r="N95" t="b">
        <v>1</v>
      </c>
      <c r="O95">
        <v>0.81</v>
      </c>
      <c r="P95" s="6">
        <v>0.81</v>
      </c>
      <c r="Q95" t="s">
        <v>1038</v>
      </c>
      <c r="R95" t="s">
        <v>1032</v>
      </c>
      <c r="S95">
        <v>3</v>
      </c>
      <c r="T95">
        <v>2</v>
      </c>
    </row>
    <row r="96" spans="1:20" x14ac:dyDescent="0.25">
      <c r="A96" t="s">
        <v>220</v>
      </c>
      <c r="B96" t="s">
        <v>1252</v>
      </c>
      <c r="C96" t="s">
        <v>1143</v>
      </c>
      <c r="E96" t="s">
        <v>1684</v>
      </c>
      <c r="G96" t="s">
        <v>1070</v>
      </c>
      <c r="H96" s="10" t="s">
        <v>1035</v>
      </c>
      <c r="I96">
        <v>17</v>
      </c>
      <c r="J96">
        <v>20</v>
      </c>
      <c r="K96" t="str">
        <f t="shared" si="1"/>
        <v>20</v>
      </c>
      <c r="L96">
        <v>20</v>
      </c>
      <c r="M96">
        <v>1.7</v>
      </c>
      <c r="N96" t="b">
        <v>0</v>
      </c>
      <c r="O96">
        <v>0.69</v>
      </c>
      <c r="P96" s="6">
        <v>0.69</v>
      </c>
      <c r="Q96" t="s">
        <v>1024</v>
      </c>
      <c r="R96" t="s">
        <v>1025</v>
      </c>
      <c r="S96">
        <v>17</v>
      </c>
      <c r="T96">
        <v>15</v>
      </c>
    </row>
    <row r="97" spans="1:20" x14ac:dyDescent="0.25">
      <c r="A97" t="s">
        <v>222</v>
      </c>
      <c r="B97" t="s">
        <v>1253</v>
      </c>
      <c r="C97" t="s">
        <v>1254</v>
      </c>
      <c r="E97" t="s">
        <v>1740</v>
      </c>
      <c r="G97" t="s">
        <v>1022</v>
      </c>
      <c r="H97" s="10" t="s">
        <v>1049</v>
      </c>
      <c r="I97">
        <v>0</v>
      </c>
      <c r="J97">
        <v>20</v>
      </c>
      <c r="K97" t="str">
        <f t="shared" si="1"/>
        <v>20</v>
      </c>
      <c r="L97">
        <v>20</v>
      </c>
      <c r="M97">
        <v>1.3</v>
      </c>
      <c r="N97" t="b">
        <v>1</v>
      </c>
      <c r="O97">
        <v>0.64</v>
      </c>
      <c r="P97" s="6">
        <v>0.64</v>
      </c>
      <c r="Q97" t="s">
        <v>1038</v>
      </c>
      <c r="R97" t="s">
        <v>1042</v>
      </c>
      <c r="S97">
        <v>2</v>
      </c>
      <c r="T97">
        <v>2</v>
      </c>
    </row>
    <row r="98" spans="1:20" x14ac:dyDescent="0.25">
      <c r="A98" t="s">
        <v>224</v>
      </c>
      <c r="B98" t="s">
        <v>1255</v>
      </c>
      <c r="C98" t="s">
        <v>1190</v>
      </c>
      <c r="E98" t="s">
        <v>1709</v>
      </c>
      <c r="G98" t="s">
        <v>1048</v>
      </c>
      <c r="H98" s="10" t="s">
        <v>1050</v>
      </c>
      <c r="I98">
        <v>25</v>
      </c>
      <c r="J98">
        <v>50</v>
      </c>
      <c r="K98" t="str">
        <f t="shared" si="1"/>
        <v>50</v>
      </c>
      <c r="L98">
        <v>50</v>
      </c>
      <c r="M98">
        <v>5</v>
      </c>
      <c r="N98" t="b">
        <v>0</v>
      </c>
      <c r="O98">
        <v>0.77</v>
      </c>
      <c r="P98" s="6">
        <v>0.77</v>
      </c>
      <c r="Q98" t="s">
        <v>1038</v>
      </c>
      <c r="R98" t="s">
        <v>1032</v>
      </c>
      <c r="S98">
        <v>14</v>
      </c>
      <c r="T98">
        <v>8</v>
      </c>
    </row>
    <row r="99" spans="1:20" x14ac:dyDescent="0.25">
      <c r="A99" t="s">
        <v>226</v>
      </c>
      <c r="B99" t="s">
        <v>1256</v>
      </c>
      <c r="C99" t="s">
        <v>1257</v>
      </c>
      <c r="E99" t="s">
        <v>1741</v>
      </c>
      <c r="G99" t="s">
        <v>1027</v>
      </c>
      <c r="H99" s="10" t="s">
        <v>1023</v>
      </c>
      <c r="I99">
        <v>17</v>
      </c>
      <c r="J99">
        <v>20</v>
      </c>
      <c r="K99" t="str">
        <f t="shared" si="1"/>
        <v>20</v>
      </c>
      <c r="L99">
        <v>20</v>
      </c>
      <c r="M99">
        <v>3.3</v>
      </c>
      <c r="N99" t="b">
        <v>0</v>
      </c>
      <c r="O99">
        <v>96</v>
      </c>
      <c r="P99" s="6">
        <v>0.96</v>
      </c>
      <c r="Q99" t="s">
        <v>1024</v>
      </c>
      <c r="R99" t="s">
        <v>1029</v>
      </c>
      <c r="S99">
        <v>20</v>
      </c>
      <c r="T99">
        <v>11</v>
      </c>
    </row>
    <row r="100" spans="1:20" x14ac:dyDescent="0.25">
      <c r="A100" t="s">
        <v>228</v>
      </c>
      <c r="B100" t="s">
        <v>1234</v>
      </c>
      <c r="C100" t="s">
        <v>1258</v>
      </c>
      <c r="E100" t="s">
        <v>1742</v>
      </c>
      <c r="G100" t="s">
        <v>1027</v>
      </c>
      <c r="H100" s="10" t="s">
        <v>1049</v>
      </c>
      <c r="I100">
        <v>5</v>
      </c>
      <c r="J100" t="s">
        <v>82</v>
      </c>
      <c r="K100" t="str">
        <f t="shared" si="1"/>
        <v>$20</v>
      </c>
      <c r="L100">
        <v>20</v>
      </c>
      <c r="M100">
        <v>1.1000000000000001</v>
      </c>
      <c r="N100" t="s">
        <v>111</v>
      </c>
      <c r="O100">
        <v>0.74</v>
      </c>
      <c r="P100" s="6">
        <v>0.74</v>
      </c>
      <c r="Q100" t="s">
        <v>1046</v>
      </c>
      <c r="R100" t="s">
        <v>1029</v>
      </c>
      <c r="S100">
        <v>2</v>
      </c>
      <c r="T100">
        <v>1</v>
      </c>
    </row>
    <row r="101" spans="1:20" x14ac:dyDescent="0.25">
      <c r="A101" t="s">
        <v>230</v>
      </c>
      <c r="B101" t="s">
        <v>1259</v>
      </c>
      <c r="C101" t="s">
        <v>1260</v>
      </c>
      <c r="E101" t="s">
        <v>1743</v>
      </c>
      <c r="G101" t="s">
        <v>1066</v>
      </c>
      <c r="H101" s="10" t="s">
        <v>1049</v>
      </c>
      <c r="I101">
        <v>10</v>
      </c>
      <c r="J101">
        <v>50</v>
      </c>
      <c r="K101" t="str">
        <f t="shared" si="1"/>
        <v>50</v>
      </c>
      <c r="L101">
        <v>50</v>
      </c>
      <c r="M101">
        <v>1.2</v>
      </c>
      <c r="N101" t="b">
        <v>0</v>
      </c>
      <c r="O101">
        <v>0.89</v>
      </c>
      <c r="P101" s="6">
        <v>0.89</v>
      </c>
      <c r="Q101" t="s">
        <v>1046</v>
      </c>
      <c r="R101" t="s">
        <v>1032</v>
      </c>
      <c r="S101">
        <v>8</v>
      </c>
      <c r="T101">
        <v>12</v>
      </c>
    </row>
    <row r="102" spans="1:20" x14ac:dyDescent="0.25">
      <c r="A102" t="s">
        <v>232</v>
      </c>
      <c r="B102" t="s">
        <v>1214</v>
      </c>
      <c r="C102" t="s">
        <v>1261</v>
      </c>
      <c r="E102" t="s">
        <v>1744</v>
      </c>
      <c r="G102" t="s">
        <v>1056</v>
      </c>
      <c r="H102" s="10" t="s">
        <v>1028</v>
      </c>
      <c r="I102">
        <v>0</v>
      </c>
      <c r="K102" t="str">
        <f t="shared" si="1"/>
        <v/>
      </c>
      <c r="L102">
        <v>70</v>
      </c>
      <c r="M102">
        <v>2</v>
      </c>
      <c r="N102" t="b">
        <v>1</v>
      </c>
      <c r="O102">
        <v>0.64</v>
      </c>
      <c r="P102" s="6">
        <v>0.64</v>
      </c>
      <c r="Q102" t="s">
        <v>1024</v>
      </c>
      <c r="R102" t="s">
        <v>1029</v>
      </c>
      <c r="S102">
        <v>4</v>
      </c>
      <c r="T102">
        <v>1</v>
      </c>
    </row>
    <row r="103" spans="1:20" x14ac:dyDescent="0.25">
      <c r="A103" t="s">
        <v>234</v>
      </c>
      <c r="B103" t="s">
        <v>1206</v>
      </c>
      <c r="C103" t="s">
        <v>1168</v>
      </c>
      <c r="E103" t="s">
        <v>1697</v>
      </c>
      <c r="G103" t="s">
        <v>1061</v>
      </c>
      <c r="H103" s="10" t="s">
        <v>1031</v>
      </c>
      <c r="I103">
        <v>2</v>
      </c>
      <c r="J103" t="s">
        <v>31</v>
      </c>
      <c r="K103" t="str">
        <f t="shared" si="1"/>
        <v>$30</v>
      </c>
      <c r="L103">
        <v>30</v>
      </c>
      <c r="M103">
        <v>4.5</v>
      </c>
      <c r="N103" t="b">
        <v>0</v>
      </c>
      <c r="O103">
        <v>64</v>
      </c>
      <c r="P103" s="6">
        <v>0.64</v>
      </c>
      <c r="Q103" t="s">
        <v>1045</v>
      </c>
      <c r="R103" t="s">
        <v>1029</v>
      </c>
      <c r="S103">
        <v>5</v>
      </c>
      <c r="T103">
        <v>1</v>
      </c>
    </row>
    <row r="104" spans="1:20" x14ac:dyDescent="0.25">
      <c r="A104" t="s">
        <v>236</v>
      </c>
      <c r="B104" t="s">
        <v>1262</v>
      </c>
      <c r="C104" t="s">
        <v>1263</v>
      </c>
      <c r="E104" t="s">
        <v>1745</v>
      </c>
      <c r="G104" t="s">
        <v>1061</v>
      </c>
      <c r="H104" s="10" t="s">
        <v>1054</v>
      </c>
      <c r="I104">
        <v>30</v>
      </c>
      <c r="J104">
        <v>100</v>
      </c>
      <c r="K104" t="str">
        <f t="shared" si="1"/>
        <v>100</v>
      </c>
      <c r="L104">
        <v>100</v>
      </c>
      <c r="M104">
        <v>3</v>
      </c>
      <c r="N104" t="b">
        <v>1</v>
      </c>
      <c r="O104">
        <v>0.73</v>
      </c>
      <c r="P104" s="6">
        <v>0.73</v>
      </c>
      <c r="Q104" t="s">
        <v>1038</v>
      </c>
      <c r="R104" t="s">
        <v>1029</v>
      </c>
      <c r="S104">
        <v>13</v>
      </c>
      <c r="T104">
        <v>6</v>
      </c>
    </row>
    <row r="105" spans="1:20" x14ac:dyDescent="0.25">
      <c r="A105" t="s">
        <v>238</v>
      </c>
      <c r="B105" t="s">
        <v>1264</v>
      </c>
      <c r="C105" t="s">
        <v>1265</v>
      </c>
      <c r="E105" t="s">
        <v>1746</v>
      </c>
      <c r="G105" t="s">
        <v>1044</v>
      </c>
      <c r="H105" s="10" t="s">
        <v>1023</v>
      </c>
      <c r="I105">
        <v>2</v>
      </c>
      <c r="J105" t="s">
        <v>44</v>
      </c>
      <c r="K105" t="str">
        <f t="shared" si="1"/>
        <v>$50</v>
      </c>
      <c r="L105">
        <v>50</v>
      </c>
      <c r="M105">
        <v>4.9000000000000004</v>
      </c>
      <c r="N105" t="b">
        <v>1</v>
      </c>
      <c r="O105">
        <v>0.68</v>
      </c>
      <c r="P105" s="6">
        <v>0.68</v>
      </c>
      <c r="Q105" t="s">
        <v>1024</v>
      </c>
      <c r="R105" t="s">
        <v>1042</v>
      </c>
      <c r="S105">
        <v>2</v>
      </c>
      <c r="T105">
        <v>3</v>
      </c>
    </row>
    <row r="106" spans="1:20" x14ac:dyDescent="0.25">
      <c r="A106" t="s">
        <v>240</v>
      </c>
      <c r="B106" t="s">
        <v>1266</v>
      </c>
      <c r="C106" t="s">
        <v>1250</v>
      </c>
      <c r="E106" t="s">
        <v>1739</v>
      </c>
      <c r="G106" t="s">
        <v>1027</v>
      </c>
      <c r="H106" s="10" t="s">
        <v>1031</v>
      </c>
      <c r="I106">
        <v>3</v>
      </c>
      <c r="J106" t="s">
        <v>31</v>
      </c>
      <c r="K106" t="str">
        <f t="shared" si="1"/>
        <v>$30</v>
      </c>
      <c r="L106">
        <v>30</v>
      </c>
      <c r="M106">
        <v>2.4</v>
      </c>
      <c r="N106" t="s">
        <v>111</v>
      </c>
      <c r="O106">
        <v>0.88</v>
      </c>
      <c r="P106" s="6">
        <v>0.88</v>
      </c>
      <c r="Q106" t="s">
        <v>1038</v>
      </c>
      <c r="R106" t="s">
        <v>1029</v>
      </c>
      <c r="S106">
        <v>2</v>
      </c>
      <c r="T106">
        <v>4</v>
      </c>
    </row>
    <row r="107" spans="1:20" x14ac:dyDescent="0.25">
      <c r="A107" t="s">
        <v>242</v>
      </c>
      <c r="B107" t="s">
        <v>1267</v>
      </c>
      <c r="C107" t="s">
        <v>1268</v>
      </c>
      <c r="E107" t="s">
        <v>1747</v>
      </c>
      <c r="G107" t="s">
        <v>1064</v>
      </c>
      <c r="H107" s="10" t="s">
        <v>1054</v>
      </c>
      <c r="I107">
        <v>21</v>
      </c>
      <c r="J107" t="s">
        <v>26</v>
      </c>
      <c r="K107" t="str">
        <f t="shared" si="1"/>
        <v>$40</v>
      </c>
      <c r="L107">
        <v>40</v>
      </c>
      <c r="M107">
        <v>2.4</v>
      </c>
      <c r="N107" t="b">
        <v>0</v>
      </c>
      <c r="O107">
        <v>0.77</v>
      </c>
      <c r="P107" s="6">
        <v>0.77</v>
      </c>
      <c r="Q107" t="s">
        <v>1045</v>
      </c>
      <c r="R107" t="s">
        <v>1029</v>
      </c>
      <c r="S107">
        <v>13</v>
      </c>
      <c r="T107">
        <v>10</v>
      </c>
    </row>
    <row r="108" spans="1:20" x14ac:dyDescent="0.25">
      <c r="A108" t="s">
        <v>244</v>
      </c>
      <c r="B108" t="s">
        <v>1189</v>
      </c>
      <c r="C108" t="s">
        <v>1249</v>
      </c>
      <c r="E108" t="s">
        <v>1748</v>
      </c>
      <c r="G108" t="s">
        <v>1061</v>
      </c>
      <c r="H108" s="10" t="s">
        <v>1023</v>
      </c>
      <c r="I108">
        <v>3</v>
      </c>
      <c r="K108" t="str">
        <f t="shared" si="1"/>
        <v/>
      </c>
      <c r="L108">
        <v>70</v>
      </c>
      <c r="M108">
        <v>0</v>
      </c>
      <c r="N108" t="b">
        <v>1</v>
      </c>
      <c r="P108" s="6">
        <v>0.78</v>
      </c>
      <c r="Q108" t="s">
        <v>1038</v>
      </c>
      <c r="R108" t="s">
        <v>1029</v>
      </c>
      <c r="S108">
        <v>3</v>
      </c>
      <c r="T108">
        <v>4</v>
      </c>
    </row>
    <row r="109" spans="1:20" x14ac:dyDescent="0.25">
      <c r="A109" t="s">
        <v>246</v>
      </c>
      <c r="B109" t="s">
        <v>1133</v>
      </c>
      <c r="C109" t="s">
        <v>1269</v>
      </c>
      <c r="E109" t="s">
        <v>1749</v>
      </c>
      <c r="G109" t="s">
        <v>1040</v>
      </c>
      <c r="H109" s="10" t="s">
        <v>1028</v>
      </c>
      <c r="I109">
        <v>19</v>
      </c>
      <c r="J109">
        <v>40</v>
      </c>
      <c r="K109" t="str">
        <f t="shared" si="1"/>
        <v>40</v>
      </c>
      <c r="L109">
        <v>40</v>
      </c>
      <c r="M109">
        <v>2.4</v>
      </c>
      <c r="N109" t="b">
        <v>1</v>
      </c>
      <c r="O109">
        <v>0.72</v>
      </c>
      <c r="P109" s="6">
        <v>0.72</v>
      </c>
      <c r="Q109" t="s">
        <v>1024</v>
      </c>
      <c r="R109" t="s">
        <v>1042</v>
      </c>
      <c r="S109">
        <v>12</v>
      </c>
      <c r="T109">
        <v>6</v>
      </c>
    </row>
    <row r="110" spans="1:20" x14ac:dyDescent="0.25">
      <c r="A110" t="s">
        <v>248</v>
      </c>
      <c r="B110" t="s">
        <v>1270</v>
      </c>
      <c r="C110" t="s">
        <v>1271</v>
      </c>
      <c r="E110" t="s">
        <v>1750</v>
      </c>
      <c r="G110" t="s">
        <v>1027</v>
      </c>
      <c r="H110" s="10" t="s">
        <v>1033</v>
      </c>
      <c r="I110">
        <v>0</v>
      </c>
      <c r="J110">
        <v>20</v>
      </c>
      <c r="K110" t="str">
        <f t="shared" si="1"/>
        <v>20</v>
      </c>
      <c r="L110">
        <v>20</v>
      </c>
      <c r="M110">
        <v>4.7</v>
      </c>
      <c r="N110" t="b">
        <v>1</v>
      </c>
      <c r="O110">
        <v>0.6</v>
      </c>
      <c r="P110" s="6">
        <v>0.6</v>
      </c>
      <c r="Q110" t="s">
        <v>1038</v>
      </c>
      <c r="R110" t="s">
        <v>1032</v>
      </c>
      <c r="S110">
        <v>2</v>
      </c>
      <c r="T110">
        <v>1</v>
      </c>
    </row>
    <row r="111" spans="1:20" x14ac:dyDescent="0.25">
      <c r="A111" t="s">
        <v>250</v>
      </c>
      <c r="B111" t="s">
        <v>1264</v>
      </c>
      <c r="C111" t="s">
        <v>1177</v>
      </c>
      <c r="E111" t="s">
        <v>1701</v>
      </c>
      <c r="G111" t="s">
        <v>1027</v>
      </c>
      <c r="H111" s="10" t="s">
        <v>30</v>
      </c>
      <c r="I111">
        <v>9</v>
      </c>
      <c r="J111" t="s">
        <v>31</v>
      </c>
      <c r="K111" t="str">
        <f t="shared" si="1"/>
        <v>$30</v>
      </c>
      <c r="L111">
        <v>30</v>
      </c>
      <c r="M111">
        <v>3.5</v>
      </c>
      <c r="N111" t="b">
        <v>0</v>
      </c>
      <c r="O111">
        <v>72</v>
      </c>
      <c r="P111" s="6">
        <v>0.72</v>
      </c>
      <c r="Q111" t="s">
        <v>1046</v>
      </c>
      <c r="R111" t="s">
        <v>1025</v>
      </c>
      <c r="S111">
        <v>15</v>
      </c>
      <c r="T111">
        <v>9</v>
      </c>
    </row>
    <row r="112" spans="1:20" x14ac:dyDescent="0.25">
      <c r="A112" t="s">
        <v>252</v>
      </c>
      <c r="B112" t="s">
        <v>1122</v>
      </c>
      <c r="C112" t="s">
        <v>1272</v>
      </c>
      <c r="E112" t="s">
        <v>1751</v>
      </c>
      <c r="G112" t="s">
        <v>1048</v>
      </c>
      <c r="H112" s="10" t="s">
        <v>1049</v>
      </c>
      <c r="I112">
        <v>5</v>
      </c>
      <c r="J112">
        <v>30</v>
      </c>
      <c r="K112" t="str">
        <f t="shared" si="1"/>
        <v>30</v>
      </c>
      <c r="L112">
        <v>30</v>
      </c>
      <c r="M112">
        <v>2.4</v>
      </c>
      <c r="N112" t="b">
        <v>0</v>
      </c>
      <c r="O112">
        <v>0.92</v>
      </c>
      <c r="P112" s="6">
        <v>0.92</v>
      </c>
      <c r="Q112" t="s">
        <v>1045</v>
      </c>
      <c r="R112" t="s">
        <v>1029</v>
      </c>
      <c r="S112">
        <v>3</v>
      </c>
      <c r="T112">
        <v>3</v>
      </c>
    </row>
    <row r="113" spans="1:20" x14ac:dyDescent="0.25">
      <c r="A113" t="s">
        <v>254</v>
      </c>
      <c r="B113" t="s">
        <v>1273</v>
      </c>
      <c r="C113" t="s">
        <v>1274</v>
      </c>
      <c r="E113" t="s">
        <v>1752</v>
      </c>
      <c r="G113" t="s">
        <v>1027</v>
      </c>
      <c r="H113" s="10" t="s">
        <v>1035</v>
      </c>
      <c r="I113">
        <v>6</v>
      </c>
      <c r="J113" t="s">
        <v>64</v>
      </c>
      <c r="K113" t="str">
        <f t="shared" si="1"/>
        <v>USD 50</v>
      </c>
      <c r="L113">
        <v>50</v>
      </c>
      <c r="M113">
        <v>3.4</v>
      </c>
      <c r="N113" t="b">
        <v>1</v>
      </c>
      <c r="P113" s="6">
        <v>0.78</v>
      </c>
      <c r="Q113" t="s">
        <v>1045</v>
      </c>
      <c r="R113" t="s">
        <v>1032</v>
      </c>
      <c r="S113">
        <v>11</v>
      </c>
      <c r="T113">
        <v>4</v>
      </c>
    </row>
    <row r="114" spans="1:20" x14ac:dyDescent="0.25">
      <c r="A114" t="s">
        <v>256</v>
      </c>
      <c r="B114" t="s">
        <v>1199</v>
      </c>
      <c r="C114" t="s">
        <v>1163</v>
      </c>
      <c r="E114" t="s">
        <v>1694</v>
      </c>
      <c r="G114" t="s">
        <v>1048</v>
      </c>
      <c r="H114" s="10" t="s">
        <v>1035</v>
      </c>
      <c r="I114">
        <v>6</v>
      </c>
      <c r="J114" t="s">
        <v>34</v>
      </c>
      <c r="K114" t="str">
        <f t="shared" si="1"/>
        <v>USD 75</v>
      </c>
      <c r="L114">
        <v>75</v>
      </c>
      <c r="M114">
        <v>2.4</v>
      </c>
      <c r="N114" t="b">
        <v>0</v>
      </c>
      <c r="O114">
        <v>0.92</v>
      </c>
      <c r="P114" s="6">
        <v>0.92</v>
      </c>
      <c r="Q114" t="s">
        <v>1045</v>
      </c>
      <c r="R114" t="s">
        <v>1029</v>
      </c>
      <c r="S114">
        <v>13</v>
      </c>
      <c r="T114">
        <v>1</v>
      </c>
    </row>
    <row r="115" spans="1:20" x14ac:dyDescent="0.25">
      <c r="A115" t="s">
        <v>258</v>
      </c>
      <c r="B115" t="s">
        <v>1275</v>
      </c>
      <c r="C115" t="s">
        <v>1276</v>
      </c>
      <c r="E115" t="s">
        <v>1753</v>
      </c>
      <c r="G115" t="s">
        <v>1044</v>
      </c>
      <c r="H115" s="10" t="s">
        <v>1028</v>
      </c>
      <c r="I115">
        <v>3</v>
      </c>
      <c r="J115" t="s">
        <v>31</v>
      </c>
      <c r="K115" t="str">
        <f t="shared" si="1"/>
        <v>$30</v>
      </c>
      <c r="L115">
        <v>30</v>
      </c>
      <c r="M115">
        <v>1.1000000000000001</v>
      </c>
      <c r="N115" t="b">
        <v>1</v>
      </c>
      <c r="P115" s="6">
        <v>0.78</v>
      </c>
      <c r="Q115" t="s">
        <v>1024</v>
      </c>
      <c r="R115" t="s">
        <v>1042</v>
      </c>
      <c r="S115">
        <v>2</v>
      </c>
      <c r="T115">
        <v>1</v>
      </c>
    </row>
    <row r="116" spans="1:20" x14ac:dyDescent="0.25">
      <c r="A116" t="s">
        <v>260</v>
      </c>
      <c r="B116" t="s">
        <v>1147</v>
      </c>
      <c r="C116" t="s">
        <v>1277</v>
      </c>
      <c r="E116" t="s">
        <v>1754</v>
      </c>
      <c r="G116" t="s">
        <v>1044</v>
      </c>
      <c r="H116" s="10" t="s">
        <v>30</v>
      </c>
      <c r="I116">
        <v>13</v>
      </c>
      <c r="J116" t="s">
        <v>262</v>
      </c>
      <c r="K116" t="str">
        <f t="shared" si="1"/>
        <v>USD 20</v>
      </c>
      <c r="L116">
        <v>20</v>
      </c>
      <c r="M116">
        <v>4.8</v>
      </c>
      <c r="N116" t="b">
        <v>0</v>
      </c>
      <c r="P116" s="6">
        <v>0.78</v>
      </c>
      <c r="Q116" t="s">
        <v>1045</v>
      </c>
      <c r="R116" t="s">
        <v>1032</v>
      </c>
      <c r="S116">
        <v>7</v>
      </c>
      <c r="T116">
        <v>10</v>
      </c>
    </row>
    <row r="117" spans="1:20" x14ac:dyDescent="0.25">
      <c r="A117" t="s">
        <v>263</v>
      </c>
      <c r="B117" t="s">
        <v>1150</v>
      </c>
      <c r="C117" t="s">
        <v>1278</v>
      </c>
      <c r="E117" t="s">
        <v>1755</v>
      </c>
      <c r="G117" t="s">
        <v>1048</v>
      </c>
      <c r="H117" s="10" t="s">
        <v>30</v>
      </c>
      <c r="I117">
        <v>5</v>
      </c>
      <c r="J117" t="s">
        <v>31</v>
      </c>
      <c r="K117" t="str">
        <f t="shared" si="1"/>
        <v>$30</v>
      </c>
      <c r="L117">
        <v>30</v>
      </c>
      <c r="M117">
        <v>2.4</v>
      </c>
      <c r="N117" t="b">
        <v>0</v>
      </c>
      <c r="O117">
        <v>0.86</v>
      </c>
      <c r="P117" s="6">
        <v>0.86</v>
      </c>
      <c r="Q117" t="s">
        <v>1046</v>
      </c>
      <c r="R117" t="s">
        <v>1042</v>
      </c>
      <c r="S117">
        <v>3</v>
      </c>
      <c r="T117">
        <v>1</v>
      </c>
    </row>
    <row r="118" spans="1:20" x14ac:dyDescent="0.25">
      <c r="A118" t="s">
        <v>265</v>
      </c>
      <c r="B118" t="s">
        <v>1279</v>
      </c>
      <c r="C118" t="s">
        <v>1280</v>
      </c>
      <c r="E118" t="s">
        <v>1756</v>
      </c>
      <c r="G118" t="s">
        <v>1066</v>
      </c>
      <c r="H118" s="10" t="s">
        <v>1049</v>
      </c>
      <c r="I118">
        <v>4</v>
      </c>
      <c r="J118" t="s">
        <v>37</v>
      </c>
      <c r="K118" t="str">
        <f t="shared" si="1"/>
        <v>USD 40</v>
      </c>
      <c r="L118">
        <v>40</v>
      </c>
      <c r="M118">
        <v>3.4</v>
      </c>
      <c r="N118" t="b">
        <v>1</v>
      </c>
      <c r="O118">
        <v>0.68</v>
      </c>
      <c r="P118" s="6">
        <v>0.68</v>
      </c>
      <c r="Q118" t="s">
        <v>1024</v>
      </c>
      <c r="R118" t="s">
        <v>1029</v>
      </c>
      <c r="S118">
        <v>1</v>
      </c>
      <c r="T118">
        <v>4</v>
      </c>
    </row>
    <row r="119" spans="1:20" x14ac:dyDescent="0.25">
      <c r="A119" t="s">
        <v>267</v>
      </c>
      <c r="B119" t="s">
        <v>1281</v>
      </c>
      <c r="C119" t="s">
        <v>1282</v>
      </c>
      <c r="E119" t="s">
        <v>1757</v>
      </c>
      <c r="G119" t="s">
        <v>1027</v>
      </c>
      <c r="H119" s="10" t="s">
        <v>1035</v>
      </c>
      <c r="I119">
        <v>7</v>
      </c>
      <c r="J119" t="s">
        <v>262</v>
      </c>
      <c r="K119" t="str">
        <f t="shared" si="1"/>
        <v>USD 20</v>
      </c>
      <c r="L119">
        <v>20</v>
      </c>
      <c r="M119">
        <v>3.2</v>
      </c>
      <c r="N119" t="b">
        <v>1</v>
      </c>
      <c r="O119">
        <v>0.62</v>
      </c>
      <c r="P119" s="6">
        <v>0.62</v>
      </c>
      <c r="Q119" t="s">
        <v>1046</v>
      </c>
      <c r="R119" t="s">
        <v>1029</v>
      </c>
      <c r="S119">
        <v>9</v>
      </c>
      <c r="T119">
        <v>3</v>
      </c>
    </row>
    <row r="120" spans="1:20" x14ac:dyDescent="0.25">
      <c r="A120" t="s">
        <v>269</v>
      </c>
      <c r="B120" t="s">
        <v>1283</v>
      </c>
      <c r="C120" t="s">
        <v>1284</v>
      </c>
      <c r="E120" t="s">
        <v>1758</v>
      </c>
      <c r="G120" t="s">
        <v>1040</v>
      </c>
      <c r="H120" s="10" t="s">
        <v>1035</v>
      </c>
      <c r="I120">
        <v>13</v>
      </c>
      <c r="J120">
        <v>20</v>
      </c>
      <c r="K120" t="str">
        <f t="shared" si="1"/>
        <v>20</v>
      </c>
      <c r="L120">
        <v>20</v>
      </c>
      <c r="M120">
        <v>3.2</v>
      </c>
      <c r="N120" t="b">
        <v>0</v>
      </c>
      <c r="P120" s="6">
        <v>0.78</v>
      </c>
      <c r="Q120" t="s">
        <v>1038</v>
      </c>
      <c r="R120" t="s">
        <v>1042</v>
      </c>
      <c r="S120">
        <v>8</v>
      </c>
      <c r="T120">
        <v>9</v>
      </c>
    </row>
    <row r="121" spans="1:20" x14ac:dyDescent="0.25">
      <c r="A121" t="s">
        <v>271</v>
      </c>
      <c r="B121" t="s">
        <v>1285</v>
      </c>
      <c r="C121" t="s">
        <v>1286</v>
      </c>
      <c r="E121" t="s">
        <v>1759</v>
      </c>
      <c r="G121" t="s">
        <v>1059</v>
      </c>
      <c r="H121" s="10" t="s">
        <v>1041</v>
      </c>
      <c r="I121">
        <v>4</v>
      </c>
      <c r="J121">
        <v>30</v>
      </c>
      <c r="K121" t="str">
        <f t="shared" si="1"/>
        <v>30</v>
      </c>
      <c r="L121">
        <v>30</v>
      </c>
      <c r="M121">
        <v>0</v>
      </c>
      <c r="N121" t="b">
        <v>1</v>
      </c>
      <c r="O121">
        <v>0.82</v>
      </c>
      <c r="P121" s="6">
        <v>0.82</v>
      </c>
      <c r="Q121" t="s">
        <v>1038</v>
      </c>
      <c r="R121" t="s">
        <v>1025</v>
      </c>
      <c r="S121">
        <v>5</v>
      </c>
      <c r="T121">
        <v>3</v>
      </c>
    </row>
    <row r="122" spans="1:20" x14ac:dyDescent="0.25">
      <c r="A122" t="s">
        <v>273</v>
      </c>
      <c r="B122" t="s">
        <v>1287</v>
      </c>
      <c r="C122" t="s">
        <v>1288</v>
      </c>
      <c r="D122" t="s">
        <v>1289</v>
      </c>
      <c r="E122" t="s">
        <v>1760</v>
      </c>
      <c r="G122" t="s">
        <v>1040</v>
      </c>
      <c r="H122" s="10" t="s">
        <v>1049</v>
      </c>
      <c r="I122">
        <v>13</v>
      </c>
      <c r="J122">
        <v>75</v>
      </c>
      <c r="K122" t="str">
        <f t="shared" si="1"/>
        <v>75</v>
      </c>
      <c r="L122">
        <v>75</v>
      </c>
      <c r="M122">
        <v>2.4</v>
      </c>
      <c r="N122" t="b">
        <v>1</v>
      </c>
      <c r="P122" s="6">
        <v>0.78</v>
      </c>
      <c r="Q122" t="s">
        <v>1038</v>
      </c>
      <c r="R122" t="s">
        <v>1042</v>
      </c>
      <c r="S122">
        <v>14</v>
      </c>
      <c r="T122">
        <v>4</v>
      </c>
    </row>
    <row r="123" spans="1:20" x14ac:dyDescent="0.25">
      <c r="A123" t="s">
        <v>274</v>
      </c>
      <c r="B123" t="s">
        <v>1290</v>
      </c>
      <c r="C123" t="s">
        <v>1291</v>
      </c>
      <c r="E123" t="s">
        <v>1761</v>
      </c>
      <c r="G123" t="s">
        <v>1022</v>
      </c>
      <c r="H123" s="10" t="s">
        <v>1054</v>
      </c>
      <c r="I123">
        <v>5</v>
      </c>
      <c r="J123" t="s">
        <v>26</v>
      </c>
      <c r="K123" t="str">
        <f t="shared" si="1"/>
        <v>$40</v>
      </c>
      <c r="L123">
        <v>40</v>
      </c>
      <c r="M123">
        <v>3.7</v>
      </c>
      <c r="N123" t="b">
        <v>0</v>
      </c>
      <c r="O123">
        <v>93</v>
      </c>
      <c r="P123" s="6">
        <v>0.93</v>
      </c>
      <c r="Q123" t="s">
        <v>1038</v>
      </c>
      <c r="R123" t="s">
        <v>1029</v>
      </c>
      <c r="S123">
        <v>3</v>
      </c>
      <c r="T123">
        <v>1</v>
      </c>
    </row>
    <row r="124" spans="1:20" x14ac:dyDescent="0.25">
      <c r="A124" t="s">
        <v>276</v>
      </c>
      <c r="B124" t="s">
        <v>1292</v>
      </c>
      <c r="C124" t="s">
        <v>1293</v>
      </c>
      <c r="E124" t="s">
        <v>1762</v>
      </c>
      <c r="G124" t="s">
        <v>1027</v>
      </c>
      <c r="H124" s="10" t="s">
        <v>1035</v>
      </c>
      <c r="I124">
        <v>15</v>
      </c>
      <c r="J124" t="s">
        <v>64</v>
      </c>
      <c r="K124" t="str">
        <f t="shared" si="1"/>
        <v>USD 50</v>
      </c>
      <c r="L124">
        <v>50</v>
      </c>
      <c r="M124">
        <v>1</v>
      </c>
      <c r="N124" t="b">
        <v>1</v>
      </c>
      <c r="O124">
        <v>0.64</v>
      </c>
      <c r="P124" s="6">
        <v>0.64</v>
      </c>
      <c r="Q124" t="s">
        <v>1046</v>
      </c>
      <c r="R124" t="s">
        <v>1042</v>
      </c>
      <c r="S124">
        <v>14</v>
      </c>
      <c r="T124">
        <v>5</v>
      </c>
    </row>
    <row r="125" spans="1:20" x14ac:dyDescent="0.25">
      <c r="A125" t="s">
        <v>278</v>
      </c>
      <c r="B125" t="s">
        <v>1294</v>
      </c>
      <c r="C125" t="s">
        <v>1090</v>
      </c>
      <c r="E125" t="s">
        <v>1658</v>
      </c>
      <c r="G125" t="s">
        <v>1070</v>
      </c>
      <c r="H125" s="10" t="s">
        <v>1049</v>
      </c>
      <c r="I125">
        <v>8</v>
      </c>
      <c r="J125" t="s">
        <v>44</v>
      </c>
      <c r="K125" t="str">
        <f t="shared" si="1"/>
        <v>$50</v>
      </c>
      <c r="L125">
        <v>50</v>
      </c>
      <c r="M125">
        <v>0</v>
      </c>
      <c r="N125" t="b">
        <v>0</v>
      </c>
      <c r="P125" s="6">
        <v>0.78</v>
      </c>
      <c r="Q125" t="s">
        <v>1024</v>
      </c>
      <c r="R125" t="s">
        <v>1025</v>
      </c>
      <c r="S125">
        <v>14</v>
      </c>
      <c r="T125">
        <v>6</v>
      </c>
    </row>
    <row r="126" spans="1:20" x14ac:dyDescent="0.25">
      <c r="A126" t="s">
        <v>280</v>
      </c>
      <c r="B126" t="s">
        <v>1234</v>
      </c>
      <c r="C126" t="s">
        <v>1295</v>
      </c>
      <c r="E126" t="s">
        <v>1763</v>
      </c>
      <c r="G126" t="s">
        <v>1027</v>
      </c>
      <c r="H126" s="10" t="s">
        <v>1033</v>
      </c>
      <c r="I126">
        <v>10</v>
      </c>
      <c r="K126" t="str">
        <f t="shared" si="1"/>
        <v/>
      </c>
      <c r="L126">
        <v>70</v>
      </c>
      <c r="M126">
        <v>1.7</v>
      </c>
      <c r="N126" t="b">
        <v>0</v>
      </c>
      <c r="O126">
        <v>0.96</v>
      </c>
      <c r="P126" s="6">
        <v>0.96</v>
      </c>
      <c r="Q126" t="s">
        <v>1024</v>
      </c>
      <c r="R126" t="s">
        <v>1042</v>
      </c>
      <c r="S126">
        <v>7</v>
      </c>
      <c r="T126">
        <v>9</v>
      </c>
    </row>
    <row r="127" spans="1:20" x14ac:dyDescent="0.25">
      <c r="A127" t="s">
        <v>282</v>
      </c>
      <c r="B127" t="s">
        <v>1166</v>
      </c>
      <c r="C127" t="s">
        <v>1132</v>
      </c>
      <c r="E127" t="s">
        <v>1679</v>
      </c>
      <c r="G127" t="s">
        <v>1059</v>
      </c>
      <c r="H127" s="10" t="s">
        <v>1041</v>
      </c>
      <c r="I127">
        <v>19</v>
      </c>
      <c r="K127" t="str">
        <f t="shared" si="1"/>
        <v/>
      </c>
      <c r="L127">
        <v>70</v>
      </c>
      <c r="M127">
        <v>5</v>
      </c>
      <c r="N127" t="b">
        <v>1</v>
      </c>
      <c r="O127">
        <v>0.83</v>
      </c>
      <c r="P127" s="6">
        <v>0.83</v>
      </c>
      <c r="Q127" t="s">
        <v>1045</v>
      </c>
      <c r="R127" t="s">
        <v>1025</v>
      </c>
      <c r="S127">
        <v>11</v>
      </c>
      <c r="T127">
        <v>5</v>
      </c>
    </row>
    <row r="128" spans="1:20" x14ac:dyDescent="0.25">
      <c r="A128" t="s">
        <v>284</v>
      </c>
      <c r="B128" t="s">
        <v>1237</v>
      </c>
      <c r="C128" t="s">
        <v>1296</v>
      </c>
      <c r="E128" t="s">
        <v>1764</v>
      </c>
      <c r="G128" t="s">
        <v>1058</v>
      </c>
      <c r="H128" s="10" t="s">
        <v>1028</v>
      </c>
      <c r="I128">
        <v>10</v>
      </c>
      <c r="J128" t="s">
        <v>177</v>
      </c>
      <c r="K128" t="str">
        <f t="shared" si="1"/>
        <v>$100</v>
      </c>
      <c r="L128">
        <v>100</v>
      </c>
      <c r="M128">
        <v>1.7</v>
      </c>
      <c r="N128" t="b">
        <v>1</v>
      </c>
      <c r="O128">
        <v>0.64</v>
      </c>
      <c r="P128" s="6">
        <v>0.64</v>
      </c>
      <c r="Q128" t="s">
        <v>1046</v>
      </c>
      <c r="R128" t="s">
        <v>1025</v>
      </c>
      <c r="S128">
        <v>14</v>
      </c>
      <c r="T128">
        <v>9</v>
      </c>
    </row>
    <row r="129" spans="1:20" x14ac:dyDescent="0.25">
      <c r="A129" t="s">
        <v>286</v>
      </c>
      <c r="B129" t="s">
        <v>1297</v>
      </c>
      <c r="C129" t="s">
        <v>1121</v>
      </c>
      <c r="E129" t="s">
        <v>1673</v>
      </c>
      <c r="G129" t="s">
        <v>1066</v>
      </c>
      <c r="H129" s="10" t="s">
        <v>1031</v>
      </c>
      <c r="I129">
        <v>8</v>
      </c>
      <c r="J129">
        <v>40</v>
      </c>
      <c r="K129" t="str">
        <f t="shared" si="1"/>
        <v>40</v>
      </c>
      <c r="L129">
        <v>40</v>
      </c>
      <c r="M129">
        <v>4.4000000000000004</v>
      </c>
      <c r="N129" t="b">
        <v>0</v>
      </c>
      <c r="O129">
        <v>0.7</v>
      </c>
      <c r="P129" s="6">
        <v>0.7</v>
      </c>
      <c r="Q129" t="s">
        <v>1038</v>
      </c>
      <c r="R129" t="s">
        <v>1042</v>
      </c>
      <c r="S129">
        <v>15</v>
      </c>
      <c r="T129">
        <v>5</v>
      </c>
    </row>
    <row r="130" spans="1:20" x14ac:dyDescent="0.25">
      <c r="A130" t="s">
        <v>288</v>
      </c>
      <c r="B130" t="s">
        <v>1298</v>
      </c>
      <c r="C130" t="s">
        <v>1299</v>
      </c>
      <c r="E130" t="s">
        <v>1765</v>
      </c>
      <c r="G130" t="s">
        <v>1070</v>
      </c>
      <c r="H130" s="10" t="s">
        <v>1035</v>
      </c>
      <c r="I130">
        <v>9</v>
      </c>
      <c r="J130">
        <v>20</v>
      </c>
      <c r="K130" t="str">
        <f t="shared" ref="K130:K193" si="2">TRIM(J130)</f>
        <v>20</v>
      </c>
      <c r="L130">
        <v>20</v>
      </c>
      <c r="M130">
        <v>0</v>
      </c>
      <c r="N130" t="b">
        <v>0</v>
      </c>
      <c r="O130">
        <v>0.65</v>
      </c>
      <c r="P130" s="6">
        <v>0.65</v>
      </c>
      <c r="Q130" t="s">
        <v>1046</v>
      </c>
      <c r="R130" t="s">
        <v>1042</v>
      </c>
      <c r="S130">
        <v>15</v>
      </c>
      <c r="T130">
        <v>7</v>
      </c>
    </row>
    <row r="131" spans="1:20" x14ac:dyDescent="0.25">
      <c r="A131" t="s">
        <v>290</v>
      </c>
      <c r="B131" t="s">
        <v>1300</v>
      </c>
      <c r="C131" t="s">
        <v>1177</v>
      </c>
      <c r="E131" t="s">
        <v>1701</v>
      </c>
      <c r="G131" t="s">
        <v>1064</v>
      </c>
      <c r="H131" s="10" t="s">
        <v>1035</v>
      </c>
      <c r="I131">
        <v>13</v>
      </c>
      <c r="J131">
        <v>40</v>
      </c>
      <c r="K131" t="str">
        <f t="shared" si="2"/>
        <v>40</v>
      </c>
      <c r="L131">
        <v>40</v>
      </c>
      <c r="M131">
        <v>3.4</v>
      </c>
      <c r="N131" t="b">
        <v>0</v>
      </c>
      <c r="O131">
        <v>0.67</v>
      </c>
      <c r="P131" s="6">
        <v>0.67</v>
      </c>
      <c r="Q131" t="s">
        <v>1045</v>
      </c>
      <c r="R131" t="s">
        <v>1032</v>
      </c>
      <c r="S131">
        <v>7</v>
      </c>
      <c r="T131">
        <v>3</v>
      </c>
    </row>
    <row r="132" spans="1:20" x14ac:dyDescent="0.25">
      <c r="A132" t="s">
        <v>292</v>
      </c>
      <c r="B132" t="s">
        <v>1301</v>
      </c>
      <c r="C132" t="s">
        <v>1302</v>
      </c>
      <c r="E132" t="s">
        <v>1766</v>
      </c>
      <c r="G132" t="s">
        <v>1027</v>
      </c>
      <c r="H132" s="10" t="s">
        <v>1050</v>
      </c>
      <c r="I132">
        <v>14</v>
      </c>
      <c r="J132" t="s">
        <v>21</v>
      </c>
      <c r="K132" t="str">
        <f t="shared" si="2"/>
        <v>USD 100</v>
      </c>
      <c r="L132">
        <v>100</v>
      </c>
      <c r="M132">
        <v>1.1000000000000001</v>
      </c>
      <c r="N132" t="s">
        <v>111</v>
      </c>
      <c r="O132">
        <v>93</v>
      </c>
      <c r="P132" s="6">
        <v>0.93</v>
      </c>
      <c r="Q132" t="s">
        <v>1045</v>
      </c>
      <c r="R132" t="s">
        <v>1029</v>
      </c>
      <c r="S132">
        <v>12</v>
      </c>
      <c r="T132">
        <v>12</v>
      </c>
    </row>
    <row r="133" spans="1:20" x14ac:dyDescent="0.25">
      <c r="A133" t="s">
        <v>294</v>
      </c>
      <c r="B133" t="s">
        <v>1164</v>
      </c>
      <c r="C133" t="s">
        <v>1303</v>
      </c>
      <c r="E133" t="s">
        <v>1767</v>
      </c>
      <c r="G133" t="s">
        <v>1064</v>
      </c>
      <c r="H133" s="10" t="s">
        <v>1035</v>
      </c>
      <c r="I133">
        <v>0</v>
      </c>
      <c r="J133">
        <v>50</v>
      </c>
      <c r="K133" t="str">
        <f t="shared" si="2"/>
        <v>50</v>
      </c>
      <c r="L133">
        <v>50</v>
      </c>
      <c r="M133">
        <v>1.6</v>
      </c>
      <c r="N133" t="b">
        <v>0</v>
      </c>
      <c r="O133">
        <v>0.6</v>
      </c>
      <c r="P133" s="6">
        <v>0.6</v>
      </c>
      <c r="Q133" t="s">
        <v>1046</v>
      </c>
      <c r="R133" t="s">
        <v>1025</v>
      </c>
      <c r="S133">
        <v>3</v>
      </c>
      <c r="T133">
        <v>2</v>
      </c>
    </row>
    <row r="134" spans="1:20" x14ac:dyDescent="0.25">
      <c r="A134" t="s">
        <v>296</v>
      </c>
      <c r="B134" t="s">
        <v>1292</v>
      </c>
      <c r="C134" t="s">
        <v>1141</v>
      </c>
      <c r="E134" t="s">
        <v>1683</v>
      </c>
      <c r="G134" t="s">
        <v>1056</v>
      </c>
      <c r="H134" s="10" t="s">
        <v>1033</v>
      </c>
      <c r="I134">
        <v>22</v>
      </c>
      <c r="J134">
        <v>100</v>
      </c>
      <c r="K134" t="str">
        <f t="shared" si="2"/>
        <v>100</v>
      </c>
      <c r="L134">
        <v>100</v>
      </c>
      <c r="M134">
        <v>4.0999999999999996</v>
      </c>
      <c r="N134" t="b">
        <v>0</v>
      </c>
      <c r="O134">
        <v>0.62</v>
      </c>
      <c r="P134" s="6">
        <v>0.62</v>
      </c>
      <c r="Q134" t="s">
        <v>1046</v>
      </c>
      <c r="R134" t="s">
        <v>1032</v>
      </c>
      <c r="S134">
        <v>17</v>
      </c>
      <c r="T134">
        <v>6</v>
      </c>
    </row>
    <row r="135" spans="1:20" x14ac:dyDescent="0.25">
      <c r="A135" t="s">
        <v>298</v>
      </c>
      <c r="B135" t="s">
        <v>1304</v>
      </c>
      <c r="C135" t="s">
        <v>1305</v>
      </c>
      <c r="E135" t="s">
        <v>1768</v>
      </c>
      <c r="G135" t="s">
        <v>1058</v>
      </c>
      <c r="H135" s="10" t="s">
        <v>1035</v>
      </c>
      <c r="I135">
        <v>4</v>
      </c>
      <c r="K135" t="str">
        <f t="shared" si="2"/>
        <v/>
      </c>
      <c r="L135">
        <v>70</v>
      </c>
      <c r="M135">
        <v>2.4</v>
      </c>
      <c r="N135" t="b">
        <v>0</v>
      </c>
      <c r="O135">
        <v>0.7</v>
      </c>
      <c r="P135" s="6">
        <v>0.7</v>
      </c>
      <c r="Q135" t="s">
        <v>1046</v>
      </c>
      <c r="R135" t="s">
        <v>1042</v>
      </c>
      <c r="S135">
        <v>2</v>
      </c>
      <c r="T135">
        <v>1</v>
      </c>
    </row>
    <row r="136" spans="1:20" x14ac:dyDescent="0.25">
      <c r="A136" t="s">
        <v>300</v>
      </c>
      <c r="B136" t="s">
        <v>1306</v>
      </c>
      <c r="C136" t="s">
        <v>1139</v>
      </c>
      <c r="E136" t="s">
        <v>1682</v>
      </c>
      <c r="G136" t="s">
        <v>1040</v>
      </c>
      <c r="H136" s="10" t="s">
        <v>1023</v>
      </c>
      <c r="I136">
        <v>22</v>
      </c>
      <c r="J136" t="s">
        <v>177</v>
      </c>
      <c r="K136" t="str">
        <f t="shared" si="2"/>
        <v>$100</v>
      </c>
      <c r="L136">
        <v>100</v>
      </c>
      <c r="M136">
        <v>4</v>
      </c>
      <c r="N136" t="b">
        <v>1</v>
      </c>
      <c r="O136">
        <v>0.75</v>
      </c>
      <c r="P136" s="6">
        <v>0.75</v>
      </c>
      <c r="Q136" t="s">
        <v>1024</v>
      </c>
      <c r="R136" t="s">
        <v>1029</v>
      </c>
      <c r="S136">
        <v>16</v>
      </c>
      <c r="T136">
        <v>4</v>
      </c>
    </row>
    <row r="137" spans="1:20" x14ac:dyDescent="0.25">
      <c r="A137" t="s">
        <v>302</v>
      </c>
      <c r="B137" t="s">
        <v>1214</v>
      </c>
      <c r="C137" t="s">
        <v>1307</v>
      </c>
      <c r="E137" t="s">
        <v>1769</v>
      </c>
      <c r="G137" t="s">
        <v>1068</v>
      </c>
      <c r="H137" s="10" t="s">
        <v>1050</v>
      </c>
      <c r="I137">
        <v>39</v>
      </c>
      <c r="J137">
        <v>75</v>
      </c>
      <c r="K137" t="str">
        <f t="shared" si="2"/>
        <v>75</v>
      </c>
      <c r="L137">
        <v>75</v>
      </c>
      <c r="M137">
        <v>1.4</v>
      </c>
      <c r="N137" t="s">
        <v>111</v>
      </c>
      <c r="O137">
        <v>0.7</v>
      </c>
      <c r="P137" s="6">
        <v>0.7</v>
      </c>
      <c r="Q137" t="s">
        <v>1038</v>
      </c>
      <c r="R137" t="s">
        <v>1032</v>
      </c>
      <c r="S137">
        <v>10</v>
      </c>
      <c r="T137">
        <v>3</v>
      </c>
    </row>
    <row r="138" spans="1:20" x14ac:dyDescent="0.25">
      <c r="A138" t="s">
        <v>304</v>
      </c>
      <c r="B138" t="s">
        <v>1308</v>
      </c>
      <c r="C138" t="s">
        <v>1309</v>
      </c>
      <c r="E138" t="s">
        <v>1770</v>
      </c>
      <c r="G138" t="s">
        <v>1027</v>
      </c>
      <c r="H138" s="10" t="s">
        <v>1050</v>
      </c>
      <c r="I138">
        <v>5</v>
      </c>
      <c r="J138" t="s">
        <v>64</v>
      </c>
      <c r="K138" t="str">
        <f t="shared" si="2"/>
        <v>USD 50</v>
      </c>
      <c r="L138">
        <v>50</v>
      </c>
      <c r="M138">
        <v>2.4</v>
      </c>
      <c r="N138" t="b">
        <v>1</v>
      </c>
      <c r="O138">
        <v>0.84</v>
      </c>
      <c r="P138" s="6">
        <v>0.84</v>
      </c>
      <c r="Q138" t="s">
        <v>1046</v>
      </c>
      <c r="R138" t="s">
        <v>1025</v>
      </c>
      <c r="S138">
        <v>1</v>
      </c>
      <c r="T138">
        <v>3</v>
      </c>
    </row>
    <row r="139" spans="1:20" x14ac:dyDescent="0.25">
      <c r="A139" t="s">
        <v>306</v>
      </c>
      <c r="B139" t="s">
        <v>1308</v>
      </c>
      <c r="C139" t="s">
        <v>1310</v>
      </c>
      <c r="E139" t="s">
        <v>1771</v>
      </c>
      <c r="G139" t="s">
        <v>1064</v>
      </c>
      <c r="H139" s="10" t="s">
        <v>1050</v>
      </c>
      <c r="I139">
        <v>5</v>
      </c>
      <c r="J139" t="s">
        <v>37</v>
      </c>
      <c r="K139" t="str">
        <f t="shared" si="2"/>
        <v>USD 40</v>
      </c>
      <c r="L139">
        <v>40</v>
      </c>
      <c r="M139">
        <v>1.2</v>
      </c>
      <c r="N139" t="b">
        <v>0</v>
      </c>
      <c r="O139">
        <v>83</v>
      </c>
      <c r="P139" s="6">
        <v>0.83</v>
      </c>
      <c r="Q139" t="s">
        <v>1046</v>
      </c>
      <c r="R139" t="s">
        <v>1032</v>
      </c>
      <c r="S139">
        <v>4</v>
      </c>
      <c r="T139">
        <v>1</v>
      </c>
    </row>
    <row r="140" spans="1:20" x14ac:dyDescent="0.25">
      <c r="A140" t="s">
        <v>308</v>
      </c>
      <c r="B140" t="s">
        <v>1311</v>
      </c>
      <c r="C140" t="s">
        <v>1312</v>
      </c>
      <c r="E140" t="s">
        <v>1772</v>
      </c>
      <c r="G140" t="s">
        <v>1048</v>
      </c>
      <c r="H140" s="10" t="s">
        <v>1049</v>
      </c>
      <c r="I140">
        <v>5</v>
      </c>
      <c r="J140">
        <v>50</v>
      </c>
      <c r="K140" t="str">
        <f t="shared" si="2"/>
        <v>50</v>
      </c>
      <c r="L140">
        <v>50</v>
      </c>
      <c r="M140">
        <v>0</v>
      </c>
      <c r="N140" t="b">
        <v>0</v>
      </c>
      <c r="P140" s="6">
        <v>0.78</v>
      </c>
      <c r="Q140" t="s">
        <v>1046</v>
      </c>
      <c r="R140" t="s">
        <v>1025</v>
      </c>
      <c r="S140">
        <v>3</v>
      </c>
      <c r="T140">
        <v>1</v>
      </c>
    </row>
    <row r="141" spans="1:20" x14ac:dyDescent="0.25">
      <c r="A141" t="s">
        <v>310</v>
      </c>
      <c r="B141" t="s">
        <v>1298</v>
      </c>
      <c r="C141" t="s">
        <v>1313</v>
      </c>
      <c r="E141" t="s">
        <v>1773</v>
      </c>
      <c r="G141" t="s">
        <v>1030</v>
      </c>
      <c r="H141" s="10" t="s">
        <v>1050</v>
      </c>
      <c r="I141">
        <v>11</v>
      </c>
      <c r="J141">
        <v>50</v>
      </c>
      <c r="K141" t="str">
        <f t="shared" si="2"/>
        <v>50</v>
      </c>
      <c r="L141">
        <v>50</v>
      </c>
      <c r="M141">
        <v>3.1</v>
      </c>
      <c r="N141" t="b">
        <v>0</v>
      </c>
      <c r="O141">
        <v>0.88</v>
      </c>
      <c r="P141" s="6">
        <v>0.88</v>
      </c>
      <c r="Q141" t="s">
        <v>1045</v>
      </c>
      <c r="R141" t="s">
        <v>1042</v>
      </c>
      <c r="S141">
        <v>14</v>
      </c>
      <c r="T141">
        <v>3</v>
      </c>
    </row>
    <row r="142" spans="1:20" x14ac:dyDescent="0.25">
      <c r="A142" t="s">
        <v>312</v>
      </c>
      <c r="B142" t="s">
        <v>1314</v>
      </c>
      <c r="C142" t="s">
        <v>1141</v>
      </c>
      <c r="E142" t="s">
        <v>1683</v>
      </c>
      <c r="G142" t="s">
        <v>1064</v>
      </c>
      <c r="H142" s="10" t="s">
        <v>1049</v>
      </c>
      <c r="I142">
        <v>15</v>
      </c>
      <c r="J142">
        <v>50</v>
      </c>
      <c r="K142" t="str">
        <f t="shared" si="2"/>
        <v>50</v>
      </c>
      <c r="L142">
        <v>50</v>
      </c>
      <c r="M142">
        <v>0</v>
      </c>
      <c r="N142" t="b">
        <v>1</v>
      </c>
      <c r="O142">
        <v>0.81</v>
      </c>
      <c r="P142" s="6">
        <v>0.81</v>
      </c>
      <c r="Q142" t="s">
        <v>1045</v>
      </c>
      <c r="R142" t="s">
        <v>1029</v>
      </c>
      <c r="S142">
        <v>10</v>
      </c>
      <c r="T142">
        <v>12</v>
      </c>
    </row>
    <row r="143" spans="1:20" x14ac:dyDescent="0.25">
      <c r="A143" t="s">
        <v>314</v>
      </c>
      <c r="B143" t="s">
        <v>1315</v>
      </c>
      <c r="C143" t="s">
        <v>1316</v>
      </c>
      <c r="E143" t="s">
        <v>1774</v>
      </c>
      <c r="G143" t="s">
        <v>1056</v>
      </c>
      <c r="H143" s="10" t="s">
        <v>1041</v>
      </c>
      <c r="I143">
        <v>5</v>
      </c>
      <c r="J143" t="s">
        <v>262</v>
      </c>
      <c r="K143" t="str">
        <f t="shared" si="2"/>
        <v>USD 20</v>
      </c>
      <c r="L143">
        <v>20</v>
      </c>
      <c r="M143">
        <v>2.2000000000000002</v>
      </c>
      <c r="N143" t="b">
        <v>1</v>
      </c>
      <c r="O143">
        <v>0.8</v>
      </c>
      <c r="P143" s="6">
        <v>0.8</v>
      </c>
      <c r="Q143" t="s">
        <v>1024</v>
      </c>
      <c r="R143" t="s">
        <v>1029</v>
      </c>
      <c r="S143">
        <v>3</v>
      </c>
      <c r="T143">
        <v>3</v>
      </c>
    </row>
    <row r="144" spans="1:20" x14ac:dyDescent="0.25">
      <c r="A144" t="s">
        <v>316</v>
      </c>
      <c r="B144" t="s">
        <v>1317</v>
      </c>
      <c r="C144" t="s">
        <v>1318</v>
      </c>
      <c r="E144" t="s">
        <v>1775</v>
      </c>
      <c r="G144" t="s">
        <v>1027</v>
      </c>
      <c r="H144" s="10" t="s">
        <v>1033</v>
      </c>
      <c r="I144">
        <v>7</v>
      </c>
      <c r="J144">
        <v>75</v>
      </c>
      <c r="K144" t="str">
        <f t="shared" si="2"/>
        <v>75</v>
      </c>
      <c r="L144">
        <v>75</v>
      </c>
      <c r="M144">
        <v>3</v>
      </c>
      <c r="N144" t="b">
        <v>1</v>
      </c>
      <c r="O144">
        <v>0.67</v>
      </c>
      <c r="P144" s="6">
        <v>0.67</v>
      </c>
      <c r="Q144" t="s">
        <v>1038</v>
      </c>
      <c r="R144" t="s">
        <v>1029</v>
      </c>
      <c r="S144">
        <v>7</v>
      </c>
      <c r="T144">
        <v>8</v>
      </c>
    </row>
    <row r="145" spans="1:20" x14ac:dyDescent="0.25">
      <c r="A145" t="s">
        <v>318</v>
      </c>
      <c r="B145" t="s">
        <v>1224</v>
      </c>
      <c r="C145" t="s">
        <v>1319</v>
      </c>
      <c r="E145" t="s">
        <v>1776</v>
      </c>
      <c r="G145" t="s">
        <v>1027</v>
      </c>
      <c r="H145" s="10" t="s">
        <v>1050</v>
      </c>
      <c r="I145">
        <v>9</v>
      </c>
      <c r="J145" t="s">
        <v>82</v>
      </c>
      <c r="K145" t="str">
        <f t="shared" si="2"/>
        <v>$20</v>
      </c>
      <c r="L145">
        <v>20</v>
      </c>
      <c r="M145">
        <v>0</v>
      </c>
      <c r="N145" t="b">
        <v>0</v>
      </c>
      <c r="O145">
        <v>0.82</v>
      </c>
      <c r="P145" s="6">
        <v>0.82</v>
      </c>
      <c r="Q145" t="s">
        <v>1024</v>
      </c>
      <c r="R145" t="s">
        <v>1042</v>
      </c>
      <c r="S145">
        <v>14</v>
      </c>
      <c r="T145">
        <v>6</v>
      </c>
    </row>
    <row r="146" spans="1:20" x14ac:dyDescent="0.25">
      <c r="A146" t="s">
        <v>320</v>
      </c>
      <c r="B146" t="s">
        <v>1320</v>
      </c>
      <c r="C146" t="s">
        <v>1141</v>
      </c>
      <c r="D146" t="s">
        <v>1321</v>
      </c>
      <c r="E146" t="s">
        <v>1777</v>
      </c>
      <c r="G146" t="s">
        <v>1064</v>
      </c>
      <c r="H146" s="10" t="s">
        <v>1049</v>
      </c>
      <c r="I146">
        <v>21</v>
      </c>
      <c r="J146" t="s">
        <v>21</v>
      </c>
      <c r="K146" t="str">
        <f t="shared" si="2"/>
        <v>USD 100</v>
      </c>
      <c r="L146">
        <v>100</v>
      </c>
      <c r="M146">
        <v>0</v>
      </c>
      <c r="N146" t="b">
        <v>1</v>
      </c>
      <c r="O146">
        <v>78</v>
      </c>
      <c r="P146" s="6">
        <v>0.78</v>
      </c>
      <c r="Q146" t="s">
        <v>1038</v>
      </c>
      <c r="R146" t="s">
        <v>1025</v>
      </c>
      <c r="S146">
        <v>18</v>
      </c>
      <c r="T146">
        <v>13</v>
      </c>
    </row>
    <row r="147" spans="1:20" x14ac:dyDescent="0.25">
      <c r="A147" t="s">
        <v>322</v>
      </c>
      <c r="B147" t="s">
        <v>1204</v>
      </c>
      <c r="C147" t="s">
        <v>1322</v>
      </c>
      <c r="E147" t="s">
        <v>1778</v>
      </c>
      <c r="G147" t="s">
        <v>1030</v>
      </c>
      <c r="H147" s="10" t="s">
        <v>30</v>
      </c>
      <c r="I147">
        <v>7</v>
      </c>
      <c r="J147" t="s">
        <v>26</v>
      </c>
      <c r="K147" t="str">
        <f t="shared" si="2"/>
        <v>$40</v>
      </c>
      <c r="L147">
        <v>40</v>
      </c>
      <c r="M147">
        <v>1.4</v>
      </c>
      <c r="N147" t="b">
        <v>0</v>
      </c>
      <c r="O147">
        <v>0.81</v>
      </c>
      <c r="P147" s="6">
        <v>0.81</v>
      </c>
      <c r="Q147" t="s">
        <v>1045</v>
      </c>
      <c r="R147" t="s">
        <v>1042</v>
      </c>
      <c r="S147">
        <v>9</v>
      </c>
      <c r="T147">
        <v>11</v>
      </c>
    </row>
    <row r="148" spans="1:20" x14ac:dyDescent="0.25">
      <c r="A148" t="s">
        <v>324</v>
      </c>
      <c r="B148" t="s">
        <v>1323</v>
      </c>
      <c r="C148" t="s">
        <v>1303</v>
      </c>
      <c r="E148" t="s">
        <v>1767</v>
      </c>
      <c r="G148" t="s">
        <v>1066</v>
      </c>
      <c r="H148" s="10" t="s">
        <v>1023</v>
      </c>
      <c r="I148">
        <v>4</v>
      </c>
      <c r="K148" t="str">
        <f t="shared" si="2"/>
        <v/>
      </c>
      <c r="L148">
        <v>70</v>
      </c>
      <c r="M148">
        <v>1.4</v>
      </c>
      <c r="N148" t="b">
        <v>1</v>
      </c>
      <c r="O148">
        <v>0.74</v>
      </c>
      <c r="P148" s="6">
        <v>0.74</v>
      </c>
      <c r="Q148" t="s">
        <v>1045</v>
      </c>
      <c r="R148" t="s">
        <v>1029</v>
      </c>
      <c r="S148">
        <v>5</v>
      </c>
      <c r="T148">
        <v>1</v>
      </c>
    </row>
    <row r="149" spans="1:20" x14ac:dyDescent="0.25">
      <c r="A149" t="s">
        <v>326</v>
      </c>
      <c r="B149" t="s">
        <v>1324</v>
      </c>
      <c r="C149" t="s">
        <v>1325</v>
      </c>
      <c r="E149" t="s">
        <v>1779</v>
      </c>
      <c r="G149" t="s">
        <v>1030</v>
      </c>
      <c r="H149" s="10" t="s">
        <v>1049</v>
      </c>
      <c r="I149">
        <v>7</v>
      </c>
      <c r="J149">
        <v>30</v>
      </c>
      <c r="K149" t="str">
        <f t="shared" si="2"/>
        <v>30</v>
      </c>
      <c r="L149">
        <v>30</v>
      </c>
      <c r="M149">
        <v>0</v>
      </c>
      <c r="N149" t="b">
        <v>0</v>
      </c>
      <c r="O149">
        <v>0.88</v>
      </c>
      <c r="P149" s="6">
        <v>0.88</v>
      </c>
      <c r="Q149" t="s">
        <v>1045</v>
      </c>
      <c r="R149" t="s">
        <v>1042</v>
      </c>
      <c r="S149">
        <v>7</v>
      </c>
      <c r="T149">
        <v>2</v>
      </c>
    </row>
    <row r="150" spans="1:20" x14ac:dyDescent="0.25">
      <c r="A150" t="s">
        <v>328</v>
      </c>
      <c r="B150" t="s">
        <v>1326</v>
      </c>
      <c r="C150" t="s">
        <v>1327</v>
      </c>
      <c r="E150" t="s">
        <v>1780</v>
      </c>
      <c r="G150" t="s">
        <v>1048</v>
      </c>
      <c r="H150" s="10" t="s">
        <v>1041</v>
      </c>
      <c r="I150">
        <v>0</v>
      </c>
      <c r="J150">
        <v>40</v>
      </c>
      <c r="K150" t="str">
        <f t="shared" si="2"/>
        <v>40</v>
      </c>
      <c r="L150">
        <v>40</v>
      </c>
      <c r="M150">
        <v>0</v>
      </c>
      <c r="N150" t="b">
        <v>0</v>
      </c>
      <c r="O150">
        <v>0.9</v>
      </c>
      <c r="P150" s="6">
        <v>0.9</v>
      </c>
      <c r="Q150" t="s">
        <v>1024</v>
      </c>
      <c r="R150" t="s">
        <v>1042</v>
      </c>
      <c r="S150">
        <v>1</v>
      </c>
      <c r="T150">
        <v>2</v>
      </c>
    </row>
    <row r="151" spans="1:20" x14ac:dyDescent="0.25">
      <c r="A151" t="s">
        <v>330</v>
      </c>
      <c r="B151" t="s">
        <v>1328</v>
      </c>
      <c r="C151" t="s">
        <v>1329</v>
      </c>
      <c r="E151" t="s">
        <v>1781</v>
      </c>
      <c r="G151" t="s">
        <v>1061</v>
      </c>
      <c r="H151" s="10" t="s">
        <v>1041</v>
      </c>
      <c r="I151">
        <v>15</v>
      </c>
      <c r="J151" t="s">
        <v>26</v>
      </c>
      <c r="K151" t="str">
        <f t="shared" si="2"/>
        <v>$40</v>
      </c>
      <c r="L151">
        <v>40</v>
      </c>
      <c r="M151">
        <v>2.9</v>
      </c>
      <c r="N151" t="b">
        <v>0</v>
      </c>
      <c r="P151" s="6">
        <v>0.78</v>
      </c>
      <c r="Q151" t="s">
        <v>1046</v>
      </c>
      <c r="R151" t="s">
        <v>1042</v>
      </c>
      <c r="S151">
        <v>6</v>
      </c>
      <c r="T151">
        <v>8</v>
      </c>
    </row>
    <row r="152" spans="1:20" x14ac:dyDescent="0.25">
      <c r="A152" t="s">
        <v>332</v>
      </c>
      <c r="B152" t="s">
        <v>1106</v>
      </c>
      <c r="C152" t="s">
        <v>1330</v>
      </c>
      <c r="E152" t="s">
        <v>1782</v>
      </c>
      <c r="G152" t="s">
        <v>1044</v>
      </c>
      <c r="H152" s="10" t="s">
        <v>1041</v>
      </c>
      <c r="I152">
        <v>10</v>
      </c>
      <c r="J152" t="s">
        <v>37</v>
      </c>
      <c r="K152" t="str">
        <f t="shared" si="2"/>
        <v>USD 40</v>
      </c>
      <c r="L152">
        <v>40</v>
      </c>
      <c r="M152">
        <v>0</v>
      </c>
      <c r="N152" t="b">
        <v>0</v>
      </c>
      <c r="P152" s="6">
        <v>0.78</v>
      </c>
      <c r="Q152" t="s">
        <v>1046</v>
      </c>
      <c r="R152" t="s">
        <v>1025</v>
      </c>
      <c r="S152">
        <v>6</v>
      </c>
      <c r="T152">
        <v>2</v>
      </c>
    </row>
    <row r="153" spans="1:20" x14ac:dyDescent="0.25">
      <c r="A153" t="s">
        <v>334</v>
      </c>
      <c r="B153" t="s">
        <v>1331</v>
      </c>
      <c r="C153" t="s">
        <v>1332</v>
      </c>
      <c r="E153" t="s">
        <v>1783</v>
      </c>
      <c r="G153" t="s">
        <v>1048</v>
      </c>
      <c r="H153" s="10" t="s">
        <v>1041</v>
      </c>
      <c r="I153">
        <v>11</v>
      </c>
      <c r="J153">
        <v>20</v>
      </c>
      <c r="K153" t="str">
        <f t="shared" si="2"/>
        <v>20</v>
      </c>
      <c r="L153">
        <v>20</v>
      </c>
      <c r="M153">
        <v>2.7</v>
      </c>
      <c r="N153" t="s">
        <v>111</v>
      </c>
      <c r="O153">
        <v>0.93</v>
      </c>
      <c r="P153" s="6">
        <v>0.93</v>
      </c>
      <c r="Q153" t="s">
        <v>1045</v>
      </c>
      <c r="R153" t="s">
        <v>1032</v>
      </c>
      <c r="S153">
        <v>13</v>
      </c>
      <c r="T153">
        <v>7</v>
      </c>
    </row>
    <row r="154" spans="1:20" x14ac:dyDescent="0.25">
      <c r="A154" t="s">
        <v>336</v>
      </c>
      <c r="B154" t="s">
        <v>1304</v>
      </c>
      <c r="C154" t="s">
        <v>1105</v>
      </c>
      <c r="E154" t="s">
        <v>1665</v>
      </c>
      <c r="G154" t="s">
        <v>1048</v>
      </c>
      <c r="H154" s="10" t="s">
        <v>1028</v>
      </c>
      <c r="I154">
        <v>12</v>
      </c>
      <c r="J154">
        <v>100</v>
      </c>
      <c r="K154" t="str">
        <f t="shared" si="2"/>
        <v>100</v>
      </c>
      <c r="L154">
        <v>100</v>
      </c>
      <c r="M154">
        <v>1.8</v>
      </c>
      <c r="N154" t="b">
        <v>1</v>
      </c>
      <c r="P154" s="6">
        <v>0.78</v>
      </c>
      <c r="Q154" t="s">
        <v>1046</v>
      </c>
      <c r="R154" t="s">
        <v>1032</v>
      </c>
      <c r="S154">
        <v>11</v>
      </c>
      <c r="T154">
        <v>3</v>
      </c>
    </row>
    <row r="155" spans="1:20" x14ac:dyDescent="0.25">
      <c r="A155" t="s">
        <v>338</v>
      </c>
      <c r="B155" t="s">
        <v>1333</v>
      </c>
      <c r="C155" t="s">
        <v>1334</v>
      </c>
      <c r="E155" t="s">
        <v>1784</v>
      </c>
      <c r="G155" t="s">
        <v>1053</v>
      </c>
      <c r="H155" s="10" t="s">
        <v>1054</v>
      </c>
      <c r="I155">
        <v>20</v>
      </c>
      <c r="J155" t="s">
        <v>122</v>
      </c>
      <c r="K155" t="str">
        <f t="shared" si="2"/>
        <v>$75</v>
      </c>
      <c r="L155">
        <v>75</v>
      </c>
      <c r="M155">
        <v>1.1000000000000001</v>
      </c>
      <c r="N155" t="s">
        <v>111</v>
      </c>
      <c r="O155">
        <v>0.71</v>
      </c>
      <c r="P155" s="6">
        <v>0.71</v>
      </c>
      <c r="Q155" t="s">
        <v>1046</v>
      </c>
      <c r="R155" t="s">
        <v>1042</v>
      </c>
      <c r="S155">
        <v>19</v>
      </c>
      <c r="T155">
        <v>7</v>
      </c>
    </row>
    <row r="156" spans="1:20" x14ac:dyDescent="0.25">
      <c r="A156" t="s">
        <v>340</v>
      </c>
      <c r="B156" t="s">
        <v>1335</v>
      </c>
      <c r="C156" t="s">
        <v>1105</v>
      </c>
      <c r="E156" t="s">
        <v>1665</v>
      </c>
      <c r="G156" t="s">
        <v>1059</v>
      </c>
      <c r="H156" s="10" t="s">
        <v>1054</v>
      </c>
      <c r="I156">
        <v>29</v>
      </c>
      <c r="J156" t="s">
        <v>26</v>
      </c>
      <c r="K156" t="str">
        <f t="shared" si="2"/>
        <v>$40</v>
      </c>
      <c r="L156">
        <v>40</v>
      </c>
      <c r="M156">
        <v>4.3</v>
      </c>
      <c r="N156" t="b">
        <v>1</v>
      </c>
      <c r="O156">
        <v>0.95</v>
      </c>
      <c r="P156" s="6">
        <v>0.95</v>
      </c>
      <c r="Q156" t="s">
        <v>1024</v>
      </c>
      <c r="R156" t="s">
        <v>1032</v>
      </c>
      <c r="S156">
        <v>11</v>
      </c>
      <c r="T156">
        <v>8</v>
      </c>
    </row>
    <row r="157" spans="1:20" x14ac:dyDescent="0.25">
      <c r="A157" t="s">
        <v>342</v>
      </c>
      <c r="B157" t="s">
        <v>1335</v>
      </c>
      <c r="C157" t="s">
        <v>1331</v>
      </c>
      <c r="E157" t="s">
        <v>1785</v>
      </c>
      <c r="G157" t="s">
        <v>1058</v>
      </c>
      <c r="H157" s="10" t="s">
        <v>1033</v>
      </c>
      <c r="I157">
        <v>15</v>
      </c>
      <c r="J157">
        <v>100</v>
      </c>
      <c r="K157" t="str">
        <f t="shared" si="2"/>
        <v>100</v>
      </c>
      <c r="L157">
        <v>100</v>
      </c>
      <c r="M157">
        <v>1.5</v>
      </c>
      <c r="N157" t="b">
        <v>0</v>
      </c>
      <c r="O157">
        <v>80</v>
      </c>
      <c r="P157" s="6">
        <v>0.8</v>
      </c>
      <c r="Q157" t="s">
        <v>1038</v>
      </c>
      <c r="R157" t="s">
        <v>1032</v>
      </c>
      <c r="S157">
        <v>8</v>
      </c>
      <c r="T157">
        <v>14</v>
      </c>
    </row>
    <row r="158" spans="1:20" x14ac:dyDescent="0.25">
      <c r="A158" t="s">
        <v>344</v>
      </c>
      <c r="B158" t="s">
        <v>1336</v>
      </c>
      <c r="C158" t="s">
        <v>1337</v>
      </c>
      <c r="E158" t="s">
        <v>1786</v>
      </c>
      <c r="G158" t="s">
        <v>1022</v>
      </c>
      <c r="H158" s="10" t="s">
        <v>1041</v>
      </c>
      <c r="I158">
        <v>9</v>
      </c>
      <c r="J158" t="s">
        <v>82</v>
      </c>
      <c r="K158" t="str">
        <f t="shared" si="2"/>
        <v>$20</v>
      </c>
      <c r="L158">
        <v>20</v>
      </c>
      <c r="M158">
        <v>2.2000000000000002</v>
      </c>
      <c r="N158" t="b">
        <v>0</v>
      </c>
      <c r="P158" s="6">
        <v>0.78</v>
      </c>
      <c r="Q158" t="s">
        <v>1045</v>
      </c>
      <c r="R158" t="s">
        <v>1042</v>
      </c>
      <c r="S158">
        <v>12</v>
      </c>
      <c r="T158">
        <v>5</v>
      </c>
    </row>
    <row r="159" spans="1:20" x14ac:dyDescent="0.25">
      <c r="A159" t="s">
        <v>346</v>
      </c>
      <c r="B159" t="s">
        <v>1338</v>
      </c>
      <c r="C159" t="s">
        <v>1339</v>
      </c>
      <c r="E159" t="s">
        <v>1787</v>
      </c>
      <c r="G159" t="s">
        <v>1068</v>
      </c>
      <c r="H159" s="10" t="s">
        <v>1041</v>
      </c>
      <c r="I159">
        <v>10</v>
      </c>
      <c r="J159">
        <v>100</v>
      </c>
      <c r="K159" t="str">
        <f t="shared" si="2"/>
        <v>100</v>
      </c>
      <c r="L159">
        <v>100</v>
      </c>
      <c r="M159">
        <v>3.2</v>
      </c>
      <c r="N159" t="b">
        <v>0</v>
      </c>
      <c r="O159">
        <v>0.62</v>
      </c>
      <c r="P159" s="6">
        <v>0.62</v>
      </c>
      <c r="Q159" t="s">
        <v>1045</v>
      </c>
      <c r="R159" t="s">
        <v>1042</v>
      </c>
      <c r="S159">
        <v>4</v>
      </c>
      <c r="T159">
        <v>1</v>
      </c>
    </row>
    <row r="160" spans="1:20" x14ac:dyDescent="0.25">
      <c r="A160" t="s">
        <v>348</v>
      </c>
      <c r="B160" t="s">
        <v>1340</v>
      </c>
      <c r="C160" t="s">
        <v>1341</v>
      </c>
      <c r="E160" t="s">
        <v>1788</v>
      </c>
      <c r="G160" t="s">
        <v>1061</v>
      </c>
      <c r="H160" s="10" t="s">
        <v>1054</v>
      </c>
      <c r="I160">
        <v>2</v>
      </c>
      <c r="J160" t="s">
        <v>44</v>
      </c>
      <c r="K160" t="str">
        <f t="shared" si="2"/>
        <v>$50</v>
      </c>
      <c r="L160">
        <v>50</v>
      </c>
      <c r="M160">
        <v>1.9</v>
      </c>
      <c r="N160" t="b">
        <v>0</v>
      </c>
      <c r="O160">
        <v>0.95</v>
      </c>
      <c r="P160" s="6">
        <v>0.95</v>
      </c>
      <c r="Q160" t="s">
        <v>1024</v>
      </c>
      <c r="R160" t="s">
        <v>1029</v>
      </c>
      <c r="S160">
        <v>2</v>
      </c>
      <c r="T160">
        <v>3</v>
      </c>
    </row>
    <row r="161" spans="1:20" x14ac:dyDescent="0.25">
      <c r="A161" t="s">
        <v>350</v>
      </c>
      <c r="B161" t="s">
        <v>1342</v>
      </c>
      <c r="C161" t="s">
        <v>1339</v>
      </c>
      <c r="E161" t="s">
        <v>1787</v>
      </c>
      <c r="G161" t="s">
        <v>1048</v>
      </c>
      <c r="H161" s="10" t="s">
        <v>1031</v>
      </c>
      <c r="I161">
        <v>0</v>
      </c>
      <c r="J161">
        <v>40</v>
      </c>
      <c r="K161" t="str">
        <f t="shared" si="2"/>
        <v>40</v>
      </c>
      <c r="L161">
        <v>40</v>
      </c>
      <c r="M161">
        <v>2.4</v>
      </c>
      <c r="N161" t="b">
        <v>0</v>
      </c>
      <c r="O161">
        <v>0.79</v>
      </c>
      <c r="P161" s="6">
        <v>0.79</v>
      </c>
      <c r="Q161" t="s">
        <v>1024</v>
      </c>
      <c r="R161" t="s">
        <v>1032</v>
      </c>
      <c r="S161">
        <v>4</v>
      </c>
      <c r="T161">
        <v>2</v>
      </c>
    </row>
    <row r="162" spans="1:20" x14ac:dyDescent="0.25">
      <c r="A162" t="s">
        <v>352</v>
      </c>
      <c r="B162" t="s">
        <v>1110</v>
      </c>
      <c r="C162" t="s">
        <v>1343</v>
      </c>
      <c r="E162" t="s">
        <v>1789</v>
      </c>
      <c r="G162" t="s">
        <v>1040</v>
      </c>
      <c r="H162" s="10" t="s">
        <v>1049</v>
      </c>
      <c r="I162">
        <v>12</v>
      </c>
      <c r="J162">
        <v>40</v>
      </c>
      <c r="K162" t="str">
        <f t="shared" si="2"/>
        <v>40</v>
      </c>
      <c r="L162">
        <v>40</v>
      </c>
      <c r="M162">
        <v>4.5</v>
      </c>
      <c r="N162" t="s">
        <v>111</v>
      </c>
      <c r="O162">
        <v>0.62</v>
      </c>
      <c r="P162" s="6">
        <v>0.62</v>
      </c>
      <c r="Q162" t="s">
        <v>1046</v>
      </c>
      <c r="R162" t="s">
        <v>1025</v>
      </c>
      <c r="S162">
        <v>15</v>
      </c>
      <c r="T162">
        <v>10</v>
      </c>
    </row>
    <row r="163" spans="1:20" x14ac:dyDescent="0.25">
      <c r="A163" t="s">
        <v>354</v>
      </c>
      <c r="B163" t="s">
        <v>1344</v>
      </c>
      <c r="C163" t="s">
        <v>1335</v>
      </c>
      <c r="E163" t="s">
        <v>1790</v>
      </c>
      <c r="G163" t="s">
        <v>1048</v>
      </c>
      <c r="H163" s="10" t="s">
        <v>1041</v>
      </c>
      <c r="I163">
        <v>12</v>
      </c>
      <c r="J163" t="s">
        <v>31</v>
      </c>
      <c r="K163" t="str">
        <f t="shared" si="2"/>
        <v>$30</v>
      </c>
      <c r="L163">
        <v>30</v>
      </c>
      <c r="M163">
        <v>4.0999999999999996</v>
      </c>
      <c r="N163" t="s">
        <v>111</v>
      </c>
      <c r="O163">
        <v>0.68</v>
      </c>
      <c r="P163" s="6">
        <v>0.68</v>
      </c>
      <c r="Q163" t="s">
        <v>1045</v>
      </c>
      <c r="R163" t="s">
        <v>1042</v>
      </c>
      <c r="S163">
        <v>15</v>
      </c>
      <c r="T163">
        <v>11</v>
      </c>
    </row>
    <row r="164" spans="1:20" x14ac:dyDescent="0.25">
      <c r="A164" t="s">
        <v>356</v>
      </c>
      <c r="B164" t="s">
        <v>1104</v>
      </c>
      <c r="C164" t="s">
        <v>1345</v>
      </c>
      <c r="E164" t="s">
        <v>1791</v>
      </c>
      <c r="G164" t="s">
        <v>1040</v>
      </c>
      <c r="H164" s="10" t="s">
        <v>1054</v>
      </c>
      <c r="I164">
        <v>15</v>
      </c>
      <c r="J164" t="s">
        <v>34</v>
      </c>
      <c r="K164" t="str">
        <f t="shared" si="2"/>
        <v>USD 75</v>
      </c>
      <c r="L164">
        <v>75</v>
      </c>
      <c r="M164">
        <v>0</v>
      </c>
      <c r="N164" t="s">
        <v>111</v>
      </c>
      <c r="P164" s="6">
        <v>0.78</v>
      </c>
      <c r="Q164" t="s">
        <v>1038</v>
      </c>
      <c r="R164" t="s">
        <v>1029</v>
      </c>
      <c r="S164">
        <v>9</v>
      </c>
      <c r="T164">
        <v>9</v>
      </c>
    </row>
    <row r="165" spans="1:20" x14ac:dyDescent="0.25">
      <c r="A165" t="s">
        <v>358</v>
      </c>
      <c r="B165" t="s">
        <v>1346</v>
      </c>
      <c r="C165" t="s">
        <v>1347</v>
      </c>
      <c r="E165" t="s">
        <v>1792</v>
      </c>
      <c r="G165" t="s">
        <v>1027</v>
      </c>
      <c r="H165" s="10" t="s">
        <v>1054</v>
      </c>
      <c r="I165">
        <v>29</v>
      </c>
      <c r="J165" t="s">
        <v>34</v>
      </c>
      <c r="K165" t="str">
        <f t="shared" si="2"/>
        <v>USD 75</v>
      </c>
      <c r="L165">
        <v>75</v>
      </c>
      <c r="M165">
        <v>2.4</v>
      </c>
      <c r="N165" t="b">
        <v>0</v>
      </c>
      <c r="O165">
        <v>0.8</v>
      </c>
      <c r="P165" s="6">
        <v>0.8</v>
      </c>
      <c r="Q165" t="s">
        <v>1024</v>
      </c>
      <c r="R165" t="s">
        <v>1025</v>
      </c>
      <c r="S165">
        <v>19</v>
      </c>
      <c r="T165">
        <v>7</v>
      </c>
    </row>
    <row r="166" spans="1:20" x14ac:dyDescent="0.25">
      <c r="A166" t="s">
        <v>360</v>
      </c>
      <c r="B166" t="s">
        <v>1320</v>
      </c>
      <c r="C166" t="s">
        <v>1348</v>
      </c>
      <c r="E166" t="s">
        <v>1793</v>
      </c>
      <c r="G166" t="s">
        <v>1053</v>
      </c>
      <c r="H166" s="10" t="s">
        <v>1050</v>
      </c>
      <c r="I166">
        <v>15</v>
      </c>
      <c r="J166">
        <v>40</v>
      </c>
      <c r="K166" t="str">
        <f t="shared" si="2"/>
        <v>40</v>
      </c>
      <c r="L166">
        <v>40</v>
      </c>
      <c r="M166">
        <v>3.7</v>
      </c>
      <c r="N166" t="b">
        <v>0</v>
      </c>
      <c r="O166">
        <v>0.92</v>
      </c>
      <c r="P166" s="6">
        <v>0.92</v>
      </c>
      <c r="Q166" t="s">
        <v>1038</v>
      </c>
      <c r="R166" t="s">
        <v>1032</v>
      </c>
      <c r="S166">
        <v>14</v>
      </c>
      <c r="T166">
        <v>9</v>
      </c>
    </row>
    <row r="167" spans="1:20" x14ac:dyDescent="0.25">
      <c r="A167" t="s">
        <v>362</v>
      </c>
      <c r="B167" t="s">
        <v>1349</v>
      </c>
      <c r="C167" t="s">
        <v>1350</v>
      </c>
      <c r="E167" t="s">
        <v>1794</v>
      </c>
      <c r="G167" t="s">
        <v>1068</v>
      </c>
      <c r="H167" s="10" t="s">
        <v>1033</v>
      </c>
      <c r="I167">
        <v>10</v>
      </c>
      <c r="J167" t="s">
        <v>34</v>
      </c>
      <c r="K167" t="str">
        <f t="shared" si="2"/>
        <v>USD 75</v>
      </c>
      <c r="L167">
        <v>75</v>
      </c>
      <c r="M167">
        <v>1.3</v>
      </c>
      <c r="N167" t="b">
        <v>1</v>
      </c>
      <c r="O167">
        <v>0.65</v>
      </c>
      <c r="P167" s="6">
        <v>0.65</v>
      </c>
      <c r="Q167" t="s">
        <v>1038</v>
      </c>
      <c r="R167" t="s">
        <v>1029</v>
      </c>
      <c r="S167">
        <v>1</v>
      </c>
      <c r="T167">
        <v>1</v>
      </c>
    </row>
    <row r="168" spans="1:20" x14ac:dyDescent="0.25">
      <c r="A168" t="s">
        <v>364</v>
      </c>
      <c r="B168" t="s">
        <v>1351</v>
      </c>
      <c r="C168" t="s">
        <v>1143</v>
      </c>
      <c r="E168" t="s">
        <v>1684</v>
      </c>
      <c r="G168" t="s">
        <v>1059</v>
      </c>
      <c r="H168" s="10" t="s">
        <v>1028</v>
      </c>
      <c r="I168">
        <v>33</v>
      </c>
      <c r="J168">
        <v>40</v>
      </c>
      <c r="K168" t="str">
        <f t="shared" si="2"/>
        <v>40</v>
      </c>
      <c r="L168">
        <v>40</v>
      </c>
      <c r="M168">
        <v>3.6</v>
      </c>
      <c r="N168" t="b">
        <v>1</v>
      </c>
      <c r="O168">
        <v>0.87</v>
      </c>
      <c r="P168" s="6">
        <v>0.87</v>
      </c>
      <c r="Q168" t="s">
        <v>1045</v>
      </c>
      <c r="R168" t="s">
        <v>1042</v>
      </c>
      <c r="S168">
        <v>13</v>
      </c>
      <c r="T168">
        <v>10</v>
      </c>
    </row>
    <row r="169" spans="1:20" x14ac:dyDescent="0.25">
      <c r="A169" t="s">
        <v>366</v>
      </c>
      <c r="B169" t="s">
        <v>1352</v>
      </c>
      <c r="C169" t="s">
        <v>1233</v>
      </c>
      <c r="E169" t="s">
        <v>1730</v>
      </c>
      <c r="G169" t="s">
        <v>1027</v>
      </c>
      <c r="H169" s="10" t="s">
        <v>1033</v>
      </c>
      <c r="I169">
        <v>10</v>
      </c>
      <c r="J169">
        <v>75</v>
      </c>
      <c r="K169" t="str">
        <f t="shared" si="2"/>
        <v>75</v>
      </c>
      <c r="L169">
        <v>75</v>
      </c>
      <c r="M169">
        <v>0</v>
      </c>
      <c r="N169" t="s">
        <v>111</v>
      </c>
      <c r="O169">
        <v>0.7</v>
      </c>
      <c r="P169" s="6">
        <v>0.7</v>
      </c>
      <c r="Q169" t="s">
        <v>1045</v>
      </c>
      <c r="R169" t="s">
        <v>1025</v>
      </c>
      <c r="S169">
        <v>11</v>
      </c>
      <c r="T169">
        <v>9</v>
      </c>
    </row>
    <row r="170" spans="1:20" x14ac:dyDescent="0.25">
      <c r="A170" t="s">
        <v>368</v>
      </c>
      <c r="B170" t="s">
        <v>1353</v>
      </c>
      <c r="C170" t="s">
        <v>1354</v>
      </c>
      <c r="E170" t="s">
        <v>1795</v>
      </c>
      <c r="G170" t="s">
        <v>1048</v>
      </c>
      <c r="H170" s="10" t="s">
        <v>1050</v>
      </c>
      <c r="I170">
        <v>20</v>
      </c>
      <c r="J170">
        <v>40</v>
      </c>
      <c r="K170" t="str">
        <f t="shared" si="2"/>
        <v>40</v>
      </c>
      <c r="L170">
        <v>40</v>
      </c>
      <c r="M170">
        <v>1.4</v>
      </c>
      <c r="N170" t="s">
        <v>111</v>
      </c>
      <c r="O170">
        <v>87</v>
      </c>
      <c r="P170" s="6">
        <v>0.87</v>
      </c>
      <c r="Q170" t="s">
        <v>1024</v>
      </c>
      <c r="R170" t="s">
        <v>1042</v>
      </c>
      <c r="S170">
        <v>18</v>
      </c>
      <c r="T170">
        <v>17</v>
      </c>
    </row>
    <row r="171" spans="1:20" x14ac:dyDescent="0.25">
      <c r="A171" t="s">
        <v>370</v>
      </c>
      <c r="B171" t="s">
        <v>1216</v>
      </c>
      <c r="C171" t="s">
        <v>1144</v>
      </c>
      <c r="E171" t="s">
        <v>1685</v>
      </c>
      <c r="G171" t="s">
        <v>1064</v>
      </c>
      <c r="H171" s="10" t="s">
        <v>1054</v>
      </c>
      <c r="I171">
        <v>23</v>
      </c>
      <c r="J171">
        <v>20</v>
      </c>
      <c r="K171" t="str">
        <f t="shared" si="2"/>
        <v>20</v>
      </c>
      <c r="L171">
        <v>20</v>
      </c>
      <c r="M171">
        <v>2.9</v>
      </c>
      <c r="N171" t="b">
        <v>0</v>
      </c>
      <c r="O171">
        <v>0.72</v>
      </c>
      <c r="P171" s="6">
        <v>0.72</v>
      </c>
      <c r="Q171" t="s">
        <v>1045</v>
      </c>
      <c r="R171" t="s">
        <v>1032</v>
      </c>
      <c r="S171">
        <v>19</v>
      </c>
      <c r="T171">
        <v>5</v>
      </c>
    </row>
    <row r="172" spans="1:20" x14ac:dyDescent="0.25">
      <c r="A172" t="s">
        <v>372</v>
      </c>
      <c r="B172" t="s">
        <v>1294</v>
      </c>
      <c r="C172" t="s">
        <v>1355</v>
      </c>
      <c r="E172" t="s">
        <v>1796</v>
      </c>
      <c r="G172" t="s">
        <v>1037</v>
      </c>
      <c r="H172" s="10" t="s">
        <v>1023</v>
      </c>
      <c r="I172">
        <v>10</v>
      </c>
      <c r="J172">
        <v>40</v>
      </c>
      <c r="K172" t="str">
        <f t="shared" si="2"/>
        <v>40</v>
      </c>
      <c r="L172">
        <v>40</v>
      </c>
      <c r="M172">
        <v>2.8</v>
      </c>
      <c r="N172" t="b">
        <v>0</v>
      </c>
      <c r="O172">
        <v>0.8</v>
      </c>
      <c r="P172" s="6">
        <v>0.8</v>
      </c>
      <c r="Q172" t="s">
        <v>1045</v>
      </c>
      <c r="R172" t="s">
        <v>1025</v>
      </c>
      <c r="S172">
        <v>4</v>
      </c>
      <c r="T172">
        <v>1</v>
      </c>
    </row>
    <row r="173" spans="1:20" x14ac:dyDescent="0.25">
      <c r="A173" t="s">
        <v>374</v>
      </c>
      <c r="B173" t="s">
        <v>1356</v>
      </c>
      <c r="C173" t="s">
        <v>1143</v>
      </c>
      <c r="E173" t="s">
        <v>1684</v>
      </c>
      <c r="G173" t="s">
        <v>1053</v>
      </c>
      <c r="H173" s="10" t="s">
        <v>1049</v>
      </c>
      <c r="I173">
        <v>0</v>
      </c>
      <c r="J173">
        <v>20</v>
      </c>
      <c r="K173" t="str">
        <f t="shared" si="2"/>
        <v>20</v>
      </c>
      <c r="L173">
        <v>20</v>
      </c>
      <c r="M173">
        <v>1.7</v>
      </c>
      <c r="N173" t="b">
        <v>0</v>
      </c>
      <c r="O173">
        <v>0.66</v>
      </c>
      <c r="P173" s="6">
        <v>0.66</v>
      </c>
      <c r="Q173" t="s">
        <v>1045</v>
      </c>
      <c r="R173" t="s">
        <v>1032</v>
      </c>
      <c r="S173">
        <v>1</v>
      </c>
      <c r="T173">
        <v>3</v>
      </c>
    </row>
    <row r="174" spans="1:20" x14ac:dyDescent="0.25">
      <c r="A174" t="s">
        <v>376</v>
      </c>
      <c r="B174" t="s">
        <v>1357</v>
      </c>
      <c r="C174" t="s">
        <v>1358</v>
      </c>
      <c r="E174" t="s">
        <v>1797</v>
      </c>
      <c r="G174" t="s">
        <v>1037</v>
      </c>
      <c r="H174" s="10" t="s">
        <v>1031</v>
      </c>
      <c r="I174">
        <v>7</v>
      </c>
      <c r="J174" t="s">
        <v>37</v>
      </c>
      <c r="K174" t="str">
        <f t="shared" si="2"/>
        <v>USD 40</v>
      </c>
      <c r="L174">
        <v>40</v>
      </c>
      <c r="M174">
        <v>0</v>
      </c>
      <c r="N174" t="b">
        <v>1</v>
      </c>
      <c r="P174" s="6">
        <v>0.78</v>
      </c>
      <c r="Q174" t="s">
        <v>1038</v>
      </c>
      <c r="R174" t="s">
        <v>1032</v>
      </c>
      <c r="S174">
        <v>14</v>
      </c>
      <c r="T174">
        <v>5</v>
      </c>
    </row>
    <row r="175" spans="1:20" x14ac:dyDescent="0.25">
      <c r="A175" t="s">
        <v>378</v>
      </c>
      <c r="B175" t="s">
        <v>1222</v>
      </c>
      <c r="C175" t="s">
        <v>1359</v>
      </c>
      <c r="E175" t="s">
        <v>1798</v>
      </c>
      <c r="G175" t="s">
        <v>1027</v>
      </c>
      <c r="H175" s="10" t="s">
        <v>1041</v>
      </c>
      <c r="I175">
        <v>4</v>
      </c>
      <c r="J175" t="s">
        <v>34</v>
      </c>
      <c r="K175" t="str">
        <f t="shared" si="2"/>
        <v>USD 75</v>
      </c>
      <c r="L175">
        <v>75</v>
      </c>
      <c r="M175">
        <v>1.1000000000000001</v>
      </c>
      <c r="N175" t="b">
        <v>1</v>
      </c>
      <c r="O175">
        <v>0.64</v>
      </c>
      <c r="P175" s="6">
        <v>0.64</v>
      </c>
      <c r="Q175" t="s">
        <v>1024</v>
      </c>
      <c r="R175" t="s">
        <v>1029</v>
      </c>
      <c r="S175">
        <v>4</v>
      </c>
      <c r="T175">
        <v>2</v>
      </c>
    </row>
    <row r="176" spans="1:20" x14ac:dyDescent="0.25">
      <c r="A176" t="s">
        <v>380</v>
      </c>
      <c r="B176" t="s">
        <v>1317</v>
      </c>
      <c r="C176" t="s">
        <v>1121</v>
      </c>
      <c r="E176" t="s">
        <v>1673</v>
      </c>
      <c r="G176" t="s">
        <v>1058</v>
      </c>
      <c r="H176" s="10" t="s">
        <v>1049</v>
      </c>
      <c r="I176">
        <v>9</v>
      </c>
      <c r="J176">
        <v>20</v>
      </c>
      <c r="K176" t="str">
        <f t="shared" si="2"/>
        <v>20</v>
      </c>
      <c r="L176">
        <v>20</v>
      </c>
      <c r="M176">
        <v>2.4</v>
      </c>
      <c r="N176" t="b">
        <v>0</v>
      </c>
      <c r="O176">
        <v>0.68</v>
      </c>
      <c r="P176" s="6">
        <v>0.68</v>
      </c>
      <c r="Q176" t="s">
        <v>1046</v>
      </c>
      <c r="R176" t="s">
        <v>1042</v>
      </c>
      <c r="S176">
        <v>11</v>
      </c>
      <c r="T176">
        <v>5</v>
      </c>
    </row>
    <row r="177" spans="1:20" x14ac:dyDescent="0.25">
      <c r="A177" t="s">
        <v>382</v>
      </c>
      <c r="B177" t="s">
        <v>1093</v>
      </c>
      <c r="C177" t="s">
        <v>1141</v>
      </c>
      <c r="E177" t="s">
        <v>1683</v>
      </c>
      <c r="G177" t="s">
        <v>1027</v>
      </c>
      <c r="H177" s="10" t="s">
        <v>1031</v>
      </c>
      <c r="I177">
        <v>17</v>
      </c>
      <c r="J177">
        <v>20</v>
      </c>
      <c r="K177" t="str">
        <f t="shared" si="2"/>
        <v>20</v>
      </c>
      <c r="L177">
        <v>20</v>
      </c>
      <c r="M177">
        <v>3.6</v>
      </c>
      <c r="N177" t="b">
        <v>0</v>
      </c>
      <c r="O177">
        <v>0.63</v>
      </c>
      <c r="P177" s="6">
        <v>0.63</v>
      </c>
      <c r="Q177" t="s">
        <v>1038</v>
      </c>
      <c r="R177" t="s">
        <v>1025</v>
      </c>
      <c r="S177">
        <v>10</v>
      </c>
      <c r="T177">
        <v>4</v>
      </c>
    </row>
    <row r="178" spans="1:20" x14ac:dyDescent="0.25">
      <c r="A178" t="s">
        <v>384</v>
      </c>
      <c r="B178" t="s">
        <v>1360</v>
      </c>
      <c r="C178" t="s">
        <v>1361</v>
      </c>
      <c r="E178" t="s">
        <v>1799</v>
      </c>
      <c r="G178" t="s">
        <v>1056</v>
      </c>
      <c r="H178" s="10" t="s">
        <v>1054</v>
      </c>
      <c r="I178">
        <v>8</v>
      </c>
      <c r="J178">
        <v>20</v>
      </c>
      <c r="K178" t="str">
        <f t="shared" si="2"/>
        <v>20</v>
      </c>
      <c r="L178">
        <v>20</v>
      </c>
      <c r="M178">
        <v>4.5</v>
      </c>
      <c r="N178" t="b">
        <v>1</v>
      </c>
      <c r="O178">
        <v>0.72</v>
      </c>
      <c r="P178" s="6">
        <v>0.72</v>
      </c>
      <c r="Q178" t="s">
        <v>1045</v>
      </c>
      <c r="R178" t="s">
        <v>1032</v>
      </c>
      <c r="S178">
        <v>12</v>
      </c>
      <c r="T178">
        <v>10</v>
      </c>
    </row>
    <row r="179" spans="1:20" x14ac:dyDescent="0.25">
      <c r="A179" t="s">
        <v>386</v>
      </c>
      <c r="B179" t="s">
        <v>1148</v>
      </c>
      <c r="C179" t="s">
        <v>1362</v>
      </c>
      <c r="E179" t="s">
        <v>1800</v>
      </c>
      <c r="G179" t="s">
        <v>1068</v>
      </c>
      <c r="H179" s="10" t="s">
        <v>30</v>
      </c>
      <c r="I179">
        <v>14</v>
      </c>
      <c r="J179" t="s">
        <v>31</v>
      </c>
      <c r="K179" t="str">
        <f t="shared" si="2"/>
        <v>$30</v>
      </c>
      <c r="L179">
        <v>30</v>
      </c>
      <c r="M179">
        <v>0</v>
      </c>
      <c r="N179" t="b">
        <v>1</v>
      </c>
      <c r="O179">
        <v>0.86</v>
      </c>
      <c r="P179" s="6">
        <v>0.86</v>
      </c>
      <c r="Q179" t="s">
        <v>1038</v>
      </c>
      <c r="R179" t="s">
        <v>1032</v>
      </c>
      <c r="S179">
        <v>14</v>
      </c>
      <c r="T179">
        <v>3</v>
      </c>
    </row>
    <row r="180" spans="1:20" x14ac:dyDescent="0.25">
      <c r="A180" t="s">
        <v>388</v>
      </c>
      <c r="B180" t="s">
        <v>1342</v>
      </c>
      <c r="C180" t="s">
        <v>1363</v>
      </c>
      <c r="E180" t="s">
        <v>1801</v>
      </c>
      <c r="G180" t="s">
        <v>1064</v>
      </c>
      <c r="H180" s="10" t="s">
        <v>1031</v>
      </c>
      <c r="I180">
        <v>21</v>
      </c>
      <c r="J180" t="s">
        <v>73</v>
      </c>
      <c r="K180" t="str">
        <f t="shared" si="2"/>
        <v>USD 30</v>
      </c>
      <c r="L180">
        <v>30</v>
      </c>
      <c r="M180">
        <v>1.5</v>
      </c>
      <c r="N180" t="b">
        <v>1</v>
      </c>
      <c r="O180">
        <v>0.73</v>
      </c>
      <c r="P180" s="6">
        <v>0.73</v>
      </c>
      <c r="Q180" t="s">
        <v>1045</v>
      </c>
      <c r="R180" t="s">
        <v>1025</v>
      </c>
      <c r="S180">
        <v>15</v>
      </c>
      <c r="T180">
        <v>17</v>
      </c>
    </row>
    <row r="181" spans="1:20" x14ac:dyDescent="0.25">
      <c r="A181" t="s">
        <v>390</v>
      </c>
      <c r="B181" t="s">
        <v>1364</v>
      </c>
      <c r="C181" t="s">
        <v>1365</v>
      </c>
      <c r="E181" t="s">
        <v>1802</v>
      </c>
      <c r="G181" t="s">
        <v>1044</v>
      </c>
      <c r="H181" s="10" t="s">
        <v>1035</v>
      </c>
      <c r="I181">
        <v>1</v>
      </c>
      <c r="J181" t="s">
        <v>31</v>
      </c>
      <c r="K181" t="str">
        <f t="shared" si="2"/>
        <v>$30</v>
      </c>
      <c r="L181">
        <v>30</v>
      </c>
      <c r="M181">
        <v>3.7</v>
      </c>
      <c r="N181" t="s">
        <v>111</v>
      </c>
      <c r="O181">
        <v>0.95</v>
      </c>
      <c r="P181" s="6">
        <v>0.95</v>
      </c>
      <c r="Q181" t="s">
        <v>1045</v>
      </c>
      <c r="R181" t="s">
        <v>1032</v>
      </c>
      <c r="S181">
        <v>3</v>
      </c>
      <c r="T181">
        <v>1</v>
      </c>
    </row>
    <row r="182" spans="1:20" x14ac:dyDescent="0.25">
      <c r="A182" t="s">
        <v>392</v>
      </c>
      <c r="B182" t="s">
        <v>1089</v>
      </c>
      <c r="C182" t="s">
        <v>1158</v>
      </c>
      <c r="E182" t="s">
        <v>1691</v>
      </c>
      <c r="G182" t="s">
        <v>1048</v>
      </c>
      <c r="H182" s="10" t="s">
        <v>1028</v>
      </c>
      <c r="I182">
        <v>12</v>
      </c>
      <c r="J182">
        <v>20</v>
      </c>
      <c r="K182" t="str">
        <f t="shared" si="2"/>
        <v>20</v>
      </c>
      <c r="L182">
        <v>20</v>
      </c>
      <c r="M182">
        <v>2.2999999999999998</v>
      </c>
      <c r="N182" t="b">
        <v>0</v>
      </c>
      <c r="O182">
        <v>0.9</v>
      </c>
      <c r="P182" s="6">
        <v>0.9</v>
      </c>
      <c r="Q182" t="s">
        <v>1038</v>
      </c>
      <c r="R182" t="s">
        <v>1029</v>
      </c>
      <c r="S182">
        <v>11</v>
      </c>
      <c r="T182">
        <v>6</v>
      </c>
    </row>
    <row r="183" spans="1:20" x14ac:dyDescent="0.25">
      <c r="A183" t="s">
        <v>394</v>
      </c>
      <c r="B183" t="s">
        <v>1133</v>
      </c>
      <c r="C183" t="s">
        <v>1090</v>
      </c>
      <c r="E183" t="s">
        <v>1658</v>
      </c>
      <c r="G183" t="s">
        <v>1048</v>
      </c>
      <c r="H183" s="10" t="s">
        <v>1031</v>
      </c>
      <c r="I183">
        <v>2</v>
      </c>
      <c r="J183" t="s">
        <v>82</v>
      </c>
      <c r="K183" t="str">
        <f t="shared" si="2"/>
        <v>$20</v>
      </c>
      <c r="L183">
        <v>20</v>
      </c>
      <c r="M183">
        <v>2.8</v>
      </c>
      <c r="N183" t="b">
        <v>0</v>
      </c>
      <c r="O183">
        <v>0.78</v>
      </c>
      <c r="P183" s="6">
        <v>0.78</v>
      </c>
      <c r="Q183" t="s">
        <v>1024</v>
      </c>
      <c r="R183" t="s">
        <v>1029</v>
      </c>
      <c r="S183">
        <v>5</v>
      </c>
      <c r="T183">
        <v>1</v>
      </c>
    </row>
    <row r="184" spans="1:20" x14ac:dyDescent="0.25">
      <c r="A184" t="s">
        <v>396</v>
      </c>
      <c r="B184" t="s">
        <v>1148</v>
      </c>
      <c r="C184" t="s">
        <v>1366</v>
      </c>
      <c r="E184" t="s">
        <v>1803</v>
      </c>
      <c r="G184" t="s">
        <v>1053</v>
      </c>
      <c r="H184" s="10" t="s">
        <v>1033</v>
      </c>
      <c r="I184">
        <v>3</v>
      </c>
      <c r="J184">
        <v>30</v>
      </c>
      <c r="K184" t="str">
        <f t="shared" si="2"/>
        <v>30</v>
      </c>
      <c r="L184">
        <v>30</v>
      </c>
      <c r="M184">
        <v>3.5</v>
      </c>
      <c r="N184" t="s">
        <v>111</v>
      </c>
      <c r="O184">
        <v>0.97</v>
      </c>
      <c r="P184" s="6">
        <v>0.97</v>
      </c>
      <c r="Q184" t="s">
        <v>1045</v>
      </c>
      <c r="R184" t="s">
        <v>1029</v>
      </c>
      <c r="S184">
        <v>3</v>
      </c>
      <c r="T184">
        <v>1</v>
      </c>
    </row>
    <row r="185" spans="1:20" x14ac:dyDescent="0.25">
      <c r="A185" t="s">
        <v>398</v>
      </c>
      <c r="B185" t="s">
        <v>1264</v>
      </c>
      <c r="C185" t="s">
        <v>1163</v>
      </c>
      <c r="E185" t="s">
        <v>1694</v>
      </c>
      <c r="G185" t="s">
        <v>1030</v>
      </c>
      <c r="H185" s="10" t="s">
        <v>1049</v>
      </c>
      <c r="I185">
        <v>11</v>
      </c>
      <c r="K185" t="str">
        <f t="shared" si="2"/>
        <v/>
      </c>
      <c r="L185">
        <v>70</v>
      </c>
      <c r="M185">
        <v>0</v>
      </c>
      <c r="N185" t="b">
        <v>1</v>
      </c>
      <c r="O185">
        <v>0.65</v>
      </c>
      <c r="P185" s="6">
        <v>0.65</v>
      </c>
      <c r="Q185" t="s">
        <v>1024</v>
      </c>
      <c r="R185" t="s">
        <v>1029</v>
      </c>
      <c r="S185">
        <v>12</v>
      </c>
      <c r="T185">
        <v>7</v>
      </c>
    </row>
    <row r="186" spans="1:20" x14ac:dyDescent="0.25">
      <c r="A186" t="s">
        <v>400</v>
      </c>
      <c r="B186" t="s">
        <v>1270</v>
      </c>
      <c r="C186" t="s">
        <v>1238</v>
      </c>
      <c r="E186" t="s">
        <v>1733</v>
      </c>
      <c r="G186" t="s">
        <v>1027</v>
      </c>
      <c r="H186" s="10" t="s">
        <v>1033</v>
      </c>
      <c r="I186">
        <v>4</v>
      </c>
      <c r="J186">
        <v>40</v>
      </c>
      <c r="K186" t="str">
        <f t="shared" si="2"/>
        <v>40</v>
      </c>
      <c r="L186">
        <v>40</v>
      </c>
      <c r="M186">
        <v>3.2</v>
      </c>
      <c r="N186" t="b">
        <v>1</v>
      </c>
      <c r="O186">
        <v>0.78</v>
      </c>
      <c r="P186" s="6">
        <v>0.78</v>
      </c>
      <c r="Q186" t="s">
        <v>1046</v>
      </c>
      <c r="R186" t="s">
        <v>1032</v>
      </c>
      <c r="S186">
        <v>4</v>
      </c>
      <c r="T186">
        <v>1</v>
      </c>
    </row>
    <row r="187" spans="1:20" x14ac:dyDescent="0.25">
      <c r="A187" t="s">
        <v>402</v>
      </c>
      <c r="B187" t="s">
        <v>1367</v>
      </c>
      <c r="C187" t="s">
        <v>1368</v>
      </c>
      <c r="E187" t="s">
        <v>1804</v>
      </c>
      <c r="G187" t="s">
        <v>1048</v>
      </c>
      <c r="H187" s="10" t="s">
        <v>1035</v>
      </c>
      <c r="I187">
        <v>21</v>
      </c>
      <c r="J187">
        <v>50</v>
      </c>
      <c r="K187" t="str">
        <f t="shared" si="2"/>
        <v>50</v>
      </c>
      <c r="L187">
        <v>50</v>
      </c>
      <c r="M187">
        <v>3.3</v>
      </c>
      <c r="N187" t="b">
        <v>1</v>
      </c>
      <c r="O187">
        <v>0.65</v>
      </c>
      <c r="P187" s="6">
        <v>0.65</v>
      </c>
      <c r="Q187" t="s">
        <v>1045</v>
      </c>
      <c r="R187" t="s">
        <v>1025</v>
      </c>
      <c r="S187">
        <v>20</v>
      </c>
      <c r="T187">
        <v>4</v>
      </c>
    </row>
    <row r="188" spans="1:20" x14ac:dyDescent="0.25">
      <c r="A188" t="s">
        <v>404</v>
      </c>
      <c r="B188" t="s">
        <v>1369</v>
      </c>
      <c r="C188" t="s">
        <v>1370</v>
      </c>
      <c r="E188" t="s">
        <v>1805</v>
      </c>
      <c r="G188" t="s">
        <v>1044</v>
      </c>
      <c r="H188" s="10" t="s">
        <v>1033</v>
      </c>
      <c r="I188">
        <v>0</v>
      </c>
      <c r="J188" t="s">
        <v>82</v>
      </c>
      <c r="K188" t="str">
        <f t="shared" si="2"/>
        <v>$20</v>
      </c>
      <c r="L188">
        <v>20</v>
      </c>
      <c r="M188">
        <v>4.9000000000000004</v>
      </c>
      <c r="N188" t="b">
        <v>0</v>
      </c>
      <c r="P188" s="6">
        <v>0.78</v>
      </c>
      <c r="Q188" t="s">
        <v>1024</v>
      </c>
      <c r="R188" t="s">
        <v>1025</v>
      </c>
      <c r="S188">
        <v>2</v>
      </c>
      <c r="T188">
        <v>4</v>
      </c>
    </row>
    <row r="189" spans="1:20" x14ac:dyDescent="0.25">
      <c r="A189" t="s">
        <v>406</v>
      </c>
      <c r="B189" t="s">
        <v>1371</v>
      </c>
      <c r="C189" t="s">
        <v>1372</v>
      </c>
      <c r="E189" t="s">
        <v>1806</v>
      </c>
      <c r="G189" t="s">
        <v>1048</v>
      </c>
      <c r="H189" s="10" t="s">
        <v>1041</v>
      </c>
      <c r="I189">
        <v>6</v>
      </c>
      <c r="J189">
        <v>30</v>
      </c>
      <c r="K189" t="str">
        <f t="shared" si="2"/>
        <v>30</v>
      </c>
      <c r="L189">
        <v>30</v>
      </c>
      <c r="M189">
        <v>2.2000000000000002</v>
      </c>
      <c r="N189" t="b">
        <v>1</v>
      </c>
      <c r="O189">
        <v>0.95</v>
      </c>
      <c r="P189" s="6">
        <v>0.95</v>
      </c>
      <c r="Q189" t="s">
        <v>1024</v>
      </c>
      <c r="R189" t="s">
        <v>1025</v>
      </c>
      <c r="S189">
        <v>13</v>
      </c>
      <c r="T189">
        <v>2</v>
      </c>
    </row>
    <row r="190" spans="1:20" x14ac:dyDescent="0.25">
      <c r="A190" t="s">
        <v>408</v>
      </c>
      <c r="B190" t="s">
        <v>1285</v>
      </c>
      <c r="C190" t="s">
        <v>1373</v>
      </c>
      <c r="E190" t="s">
        <v>1807</v>
      </c>
      <c r="G190" t="s">
        <v>1058</v>
      </c>
      <c r="H190" s="10" t="s">
        <v>1035</v>
      </c>
      <c r="I190">
        <v>18</v>
      </c>
      <c r="J190" t="s">
        <v>37</v>
      </c>
      <c r="K190" t="str">
        <f t="shared" si="2"/>
        <v>USD 40</v>
      </c>
      <c r="L190">
        <v>40</v>
      </c>
      <c r="M190">
        <v>2.4</v>
      </c>
      <c r="N190" t="b">
        <v>1</v>
      </c>
      <c r="O190">
        <v>0.88</v>
      </c>
      <c r="P190" s="6">
        <v>0.88</v>
      </c>
      <c r="Q190" t="s">
        <v>1046</v>
      </c>
      <c r="R190" t="s">
        <v>1025</v>
      </c>
      <c r="S190">
        <v>14</v>
      </c>
      <c r="T190">
        <v>2</v>
      </c>
    </row>
    <row r="191" spans="1:20" x14ac:dyDescent="0.25">
      <c r="A191" t="s">
        <v>410</v>
      </c>
      <c r="B191" t="s">
        <v>1374</v>
      </c>
      <c r="C191" t="s">
        <v>1375</v>
      </c>
      <c r="E191" t="s">
        <v>1808</v>
      </c>
      <c r="G191" t="s">
        <v>1048</v>
      </c>
      <c r="H191" s="10" t="s">
        <v>1031</v>
      </c>
      <c r="I191">
        <v>10</v>
      </c>
      <c r="K191" t="str">
        <f t="shared" si="2"/>
        <v/>
      </c>
      <c r="L191">
        <v>70</v>
      </c>
      <c r="M191">
        <v>1.8</v>
      </c>
      <c r="N191" t="b">
        <v>0</v>
      </c>
      <c r="P191" s="6">
        <v>0.78</v>
      </c>
      <c r="Q191" t="s">
        <v>1024</v>
      </c>
      <c r="R191" t="s">
        <v>1042</v>
      </c>
      <c r="S191">
        <v>5</v>
      </c>
      <c r="T191">
        <v>5</v>
      </c>
    </row>
    <row r="192" spans="1:20" x14ac:dyDescent="0.25">
      <c r="A192" t="s">
        <v>412</v>
      </c>
      <c r="B192" t="s">
        <v>1331</v>
      </c>
      <c r="C192" t="s">
        <v>1376</v>
      </c>
      <c r="E192" t="s">
        <v>1809</v>
      </c>
      <c r="G192" t="s">
        <v>1059</v>
      </c>
      <c r="H192" s="10" t="s">
        <v>1031</v>
      </c>
      <c r="I192">
        <v>1</v>
      </c>
      <c r="J192">
        <v>75</v>
      </c>
      <c r="K192" t="str">
        <f t="shared" si="2"/>
        <v>75</v>
      </c>
      <c r="L192">
        <v>75</v>
      </c>
      <c r="M192">
        <v>4.5999999999999996</v>
      </c>
      <c r="N192" t="b">
        <v>0</v>
      </c>
      <c r="O192">
        <v>0.92</v>
      </c>
      <c r="P192" s="6">
        <v>0.92</v>
      </c>
      <c r="Q192" t="s">
        <v>1024</v>
      </c>
      <c r="R192" t="s">
        <v>1025</v>
      </c>
      <c r="S192">
        <v>2</v>
      </c>
      <c r="T192">
        <v>1</v>
      </c>
    </row>
    <row r="193" spans="1:20" x14ac:dyDescent="0.25">
      <c r="A193" t="s">
        <v>414</v>
      </c>
      <c r="B193" t="s">
        <v>1377</v>
      </c>
      <c r="C193" t="s">
        <v>1378</v>
      </c>
      <c r="E193" t="s">
        <v>1810</v>
      </c>
      <c r="G193" t="s">
        <v>1027</v>
      </c>
      <c r="H193" s="10" t="s">
        <v>1031</v>
      </c>
      <c r="I193">
        <v>20</v>
      </c>
      <c r="J193">
        <v>75</v>
      </c>
      <c r="K193" t="str">
        <f t="shared" si="2"/>
        <v>75</v>
      </c>
      <c r="L193">
        <v>75</v>
      </c>
      <c r="M193">
        <v>2.8</v>
      </c>
      <c r="N193" t="s">
        <v>111</v>
      </c>
      <c r="O193">
        <v>0.75</v>
      </c>
      <c r="P193" s="6">
        <v>0.75</v>
      </c>
      <c r="Q193" t="s">
        <v>1046</v>
      </c>
      <c r="R193" t="s">
        <v>1042</v>
      </c>
      <c r="S193">
        <v>13</v>
      </c>
      <c r="T193">
        <v>1</v>
      </c>
    </row>
    <row r="194" spans="1:20" x14ac:dyDescent="0.25">
      <c r="A194" t="s">
        <v>416</v>
      </c>
      <c r="B194" t="s">
        <v>1106</v>
      </c>
      <c r="C194" t="s">
        <v>1143</v>
      </c>
      <c r="E194" t="s">
        <v>1684</v>
      </c>
      <c r="G194" t="s">
        <v>1022</v>
      </c>
      <c r="H194" s="10" t="s">
        <v>1054</v>
      </c>
      <c r="I194">
        <v>10</v>
      </c>
      <c r="J194" t="s">
        <v>31</v>
      </c>
      <c r="K194" t="str">
        <f t="shared" ref="K194:K257" si="3">TRIM(J194)</f>
        <v>$30</v>
      </c>
      <c r="L194">
        <v>30</v>
      </c>
      <c r="M194">
        <v>1.4</v>
      </c>
      <c r="N194" t="b">
        <v>0</v>
      </c>
      <c r="O194">
        <v>0.74</v>
      </c>
      <c r="P194" s="6">
        <v>0.74</v>
      </c>
      <c r="Q194" t="s">
        <v>1045</v>
      </c>
      <c r="R194" t="s">
        <v>1042</v>
      </c>
      <c r="S194">
        <v>2</v>
      </c>
      <c r="T194">
        <v>4</v>
      </c>
    </row>
    <row r="195" spans="1:20" x14ac:dyDescent="0.25">
      <c r="A195" t="s">
        <v>417</v>
      </c>
      <c r="B195" t="s">
        <v>1133</v>
      </c>
      <c r="C195" t="s">
        <v>1126</v>
      </c>
      <c r="E195" t="s">
        <v>1676</v>
      </c>
      <c r="G195" t="s">
        <v>1061</v>
      </c>
      <c r="H195" s="10" t="s">
        <v>1023</v>
      </c>
      <c r="I195">
        <v>25</v>
      </c>
      <c r="J195" t="s">
        <v>31</v>
      </c>
      <c r="K195" t="str">
        <f t="shared" si="3"/>
        <v>$30</v>
      </c>
      <c r="L195">
        <v>30</v>
      </c>
      <c r="M195">
        <v>4.2</v>
      </c>
      <c r="N195" t="b">
        <v>1</v>
      </c>
      <c r="O195">
        <v>0.71</v>
      </c>
      <c r="P195" s="6">
        <v>0.71</v>
      </c>
      <c r="Q195" t="s">
        <v>1024</v>
      </c>
      <c r="R195" t="s">
        <v>1029</v>
      </c>
      <c r="S195">
        <v>11</v>
      </c>
      <c r="T195">
        <v>13</v>
      </c>
    </row>
    <row r="196" spans="1:20" x14ac:dyDescent="0.25">
      <c r="A196" t="s">
        <v>419</v>
      </c>
      <c r="B196" t="s">
        <v>1379</v>
      </c>
      <c r="C196" t="s">
        <v>1288</v>
      </c>
      <c r="E196" t="s">
        <v>1811</v>
      </c>
      <c r="G196" t="s">
        <v>1068</v>
      </c>
      <c r="H196" s="10" t="s">
        <v>1031</v>
      </c>
      <c r="I196">
        <v>20</v>
      </c>
      <c r="J196" t="s">
        <v>37</v>
      </c>
      <c r="K196" t="str">
        <f t="shared" si="3"/>
        <v>USD 40</v>
      </c>
      <c r="L196">
        <v>40</v>
      </c>
      <c r="M196">
        <v>3.6</v>
      </c>
      <c r="N196" t="b">
        <v>1</v>
      </c>
      <c r="O196">
        <v>0.89</v>
      </c>
      <c r="P196" s="6">
        <v>0.89</v>
      </c>
      <c r="Q196" t="s">
        <v>1024</v>
      </c>
      <c r="R196" t="s">
        <v>1042</v>
      </c>
      <c r="S196">
        <v>17</v>
      </c>
      <c r="T196">
        <v>2</v>
      </c>
    </row>
    <row r="197" spans="1:20" x14ac:dyDescent="0.25">
      <c r="A197" t="s">
        <v>421</v>
      </c>
      <c r="B197" t="s">
        <v>1380</v>
      </c>
      <c r="C197" t="s">
        <v>1381</v>
      </c>
      <c r="E197" t="s">
        <v>1812</v>
      </c>
      <c r="G197" t="s">
        <v>1040</v>
      </c>
      <c r="H197" s="10" t="s">
        <v>1033</v>
      </c>
      <c r="I197">
        <v>33</v>
      </c>
      <c r="J197" t="s">
        <v>177</v>
      </c>
      <c r="K197" t="str">
        <f t="shared" si="3"/>
        <v>$100</v>
      </c>
      <c r="L197">
        <v>100</v>
      </c>
      <c r="M197">
        <v>1.6</v>
      </c>
      <c r="N197" t="b">
        <v>0</v>
      </c>
      <c r="O197">
        <v>0.66</v>
      </c>
      <c r="P197" s="6">
        <v>0.66</v>
      </c>
      <c r="Q197" t="s">
        <v>1024</v>
      </c>
      <c r="R197" t="s">
        <v>1032</v>
      </c>
      <c r="S197">
        <v>14</v>
      </c>
      <c r="T197">
        <v>17</v>
      </c>
    </row>
    <row r="198" spans="1:20" x14ac:dyDescent="0.25">
      <c r="A198" t="s">
        <v>423</v>
      </c>
      <c r="B198" t="s">
        <v>1214</v>
      </c>
      <c r="C198" t="s">
        <v>1141</v>
      </c>
      <c r="E198" t="s">
        <v>1683</v>
      </c>
      <c r="G198" t="s">
        <v>1037</v>
      </c>
      <c r="H198" s="10" t="s">
        <v>1041</v>
      </c>
      <c r="I198">
        <v>6</v>
      </c>
      <c r="J198" t="s">
        <v>177</v>
      </c>
      <c r="K198" t="str">
        <f t="shared" si="3"/>
        <v>$100</v>
      </c>
      <c r="L198">
        <v>100</v>
      </c>
      <c r="M198">
        <v>2</v>
      </c>
      <c r="N198" t="s">
        <v>111</v>
      </c>
      <c r="P198" s="6">
        <v>0.78</v>
      </c>
      <c r="Q198" t="s">
        <v>1038</v>
      </c>
      <c r="R198" t="s">
        <v>1042</v>
      </c>
      <c r="S198">
        <v>13</v>
      </c>
      <c r="T198">
        <v>1</v>
      </c>
    </row>
    <row r="199" spans="1:20" x14ac:dyDescent="0.25">
      <c r="A199" t="s">
        <v>425</v>
      </c>
      <c r="B199" t="s">
        <v>1382</v>
      </c>
      <c r="C199" t="s">
        <v>1383</v>
      </c>
      <c r="E199" t="s">
        <v>1813</v>
      </c>
      <c r="G199" t="s">
        <v>1064</v>
      </c>
      <c r="H199" s="10" t="s">
        <v>1035</v>
      </c>
      <c r="I199">
        <v>11</v>
      </c>
      <c r="J199">
        <v>40</v>
      </c>
      <c r="K199" t="str">
        <f t="shared" si="3"/>
        <v>40</v>
      </c>
      <c r="L199">
        <v>40</v>
      </c>
      <c r="M199">
        <v>4.3</v>
      </c>
      <c r="N199" t="b">
        <v>1</v>
      </c>
      <c r="O199">
        <v>0.86</v>
      </c>
      <c r="P199" s="6">
        <v>0.86</v>
      </c>
      <c r="Q199" t="s">
        <v>1046</v>
      </c>
      <c r="R199" t="s">
        <v>1029</v>
      </c>
      <c r="S199">
        <v>9</v>
      </c>
      <c r="T199">
        <v>2</v>
      </c>
    </row>
    <row r="200" spans="1:20" x14ac:dyDescent="0.25">
      <c r="A200" t="s">
        <v>427</v>
      </c>
      <c r="B200" t="s">
        <v>1384</v>
      </c>
      <c r="C200" t="s">
        <v>1385</v>
      </c>
      <c r="E200" t="s">
        <v>1814</v>
      </c>
      <c r="G200" t="s">
        <v>1056</v>
      </c>
      <c r="H200" s="10" t="s">
        <v>1031</v>
      </c>
      <c r="I200">
        <v>28</v>
      </c>
      <c r="J200" t="s">
        <v>177</v>
      </c>
      <c r="K200" t="str">
        <f t="shared" si="3"/>
        <v>$100</v>
      </c>
      <c r="L200">
        <v>100</v>
      </c>
      <c r="M200">
        <v>4.9000000000000004</v>
      </c>
      <c r="N200" t="b">
        <v>1</v>
      </c>
      <c r="O200">
        <v>0.86</v>
      </c>
      <c r="P200" s="6">
        <v>0.86</v>
      </c>
      <c r="Q200" t="s">
        <v>1038</v>
      </c>
      <c r="R200" t="s">
        <v>1042</v>
      </c>
      <c r="S200">
        <v>12</v>
      </c>
      <c r="T200">
        <v>3</v>
      </c>
    </row>
    <row r="201" spans="1:20" x14ac:dyDescent="0.25">
      <c r="A201" t="s">
        <v>429</v>
      </c>
      <c r="B201" t="s">
        <v>1087</v>
      </c>
      <c r="C201" t="s">
        <v>1260</v>
      </c>
      <c r="E201" t="s">
        <v>1743</v>
      </c>
      <c r="G201" t="s">
        <v>1048</v>
      </c>
      <c r="H201" s="10" t="s">
        <v>1041</v>
      </c>
      <c r="I201">
        <v>11</v>
      </c>
      <c r="J201">
        <v>100</v>
      </c>
      <c r="K201" t="str">
        <f t="shared" si="3"/>
        <v>100</v>
      </c>
      <c r="L201">
        <v>100</v>
      </c>
      <c r="M201">
        <v>3.5</v>
      </c>
      <c r="N201" t="b">
        <v>1</v>
      </c>
      <c r="O201">
        <v>0.82</v>
      </c>
      <c r="P201" s="6">
        <v>0.82</v>
      </c>
      <c r="Q201" t="s">
        <v>1046</v>
      </c>
      <c r="R201" t="s">
        <v>1032</v>
      </c>
      <c r="S201">
        <v>12</v>
      </c>
      <c r="T201">
        <v>2</v>
      </c>
    </row>
    <row r="202" spans="1:20" x14ac:dyDescent="0.25">
      <c r="A202" t="s">
        <v>431</v>
      </c>
      <c r="B202" t="s">
        <v>1386</v>
      </c>
      <c r="C202" t="s">
        <v>1387</v>
      </c>
      <c r="E202" t="s">
        <v>1815</v>
      </c>
      <c r="G202" t="s">
        <v>1048</v>
      </c>
      <c r="H202" s="10" t="s">
        <v>30</v>
      </c>
      <c r="I202">
        <v>2</v>
      </c>
      <c r="J202">
        <v>100</v>
      </c>
      <c r="K202" t="str">
        <f t="shared" si="3"/>
        <v>100</v>
      </c>
      <c r="L202">
        <v>100</v>
      </c>
      <c r="M202">
        <v>2.4</v>
      </c>
      <c r="N202" t="s">
        <v>111</v>
      </c>
      <c r="O202">
        <v>87</v>
      </c>
      <c r="P202" s="6">
        <v>0.87</v>
      </c>
      <c r="Q202" t="s">
        <v>1045</v>
      </c>
      <c r="R202" t="s">
        <v>1032</v>
      </c>
      <c r="S202">
        <v>1</v>
      </c>
      <c r="T202">
        <v>1</v>
      </c>
    </row>
    <row r="203" spans="1:20" x14ac:dyDescent="0.25">
      <c r="A203" t="s">
        <v>433</v>
      </c>
      <c r="B203" t="s">
        <v>1388</v>
      </c>
      <c r="C203" t="s">
        <v>1247</v>
      </c>
      <c r="E203" t="s">
        <v>1816</v>
      </c>
      <c r="G203" t="s">
        <v>1070</v>
      </c>
      <c r="H203" s="10" t="s">
        <v>1035</v>
      </c>
      <c r="I203">
        <v>7</v>
      </c>
      <c r="J203">
        <v>100</v>
      </c>
      <c r="K203" t="str">
        <f t="shared" si="3"/>
        <v>100</v>
      </c>
      <c r="L203">
        <v>100</v>
      </c>
      <c r="M203">
        <v>1.7</v>
      </c>
      <c r="N203" t="b">
        <v>1</v>
      </c>
      <c r="O203">
        <v>0.8</v>
      </c>
      <c r="P203" s="6">
        <v>0.8</v>
      </c>
      <c r="Q203" t="s">
        <v>1045</v>
      </c>
      <c r="R203" t="s">
        <v>1032</v>
      </c>
      <c r="S203">
        <v>14</v>
      </c>
      <c r="T203">
        <v>4</v>
      </c>
    </row>
    <row r="204" spans="1:20" x14ac:dyDescent="0.25">
      <c r="A204" t="s">
        <v>435</v>
      </c>
      <c r="B204" t="s">
        <v>1389</v>
      </c>
      <c r="C204" t="s">
        <v>1390</v>
      </c>
      <c r="E204" t="s">
        <v>1817</v>
      </c>
      <c r="G204" t="s">
        <v>1022</v>
      </c>
      <c r="H204" s="10" t="s">
        <v>1054</v>
      </c>
      <c r="I204">
        <v>10</v>
      </c>
      <c r="J204" t="s">
        <v>21</v>
      </c>
      <c r="K204" t="str">
        <f t="shared" si="3"/>
        <v>USD 100</v>
      </c>
      <c r="L204">
        <v>100</v>
      </c>
      <c r="M204">
        <v>4.5999999999999996</v>
      </c>
      <c r="N204" t="b">
        <v>1</v>
      </c>
      <c r="O204">
        <v>0.71</v>
      </c>
      <c r="P204" s="6">
        <v>0.71</v>
      </c>
      <c r="Q204" t="s">
        <v>1024</v>
      </c>
      <c r="R204" t="s">
        <v>1029</v>
      </c>
      <c r="S204">
        <v>15</v>
      </c>
      <c r="T204">
        <v>10</v>
      </c>
    </row>
    <row r="205" spans="1:20" x14ac:dyDescent="0.25">
      <c r="A205" t="s">
        <v>437</v>
      </c>
      <c r="B205" t="s">
        <v>1391</v>
      </c>
      <c r="C205" t="s">
        <v>1392</v>
      </c>
      <c r="E205" t="s">
        <v>1818</v>
      </c>
      <c r="G205" t="s">
        <v>1061</v>
      </c>
      <c r="H205" s="10" t="s">
        <v>1028</v>
      </c>
      <c r="I205">
        <v>6</v>
      </c>
      <c r="J205">
        <v>50</v>
      </c>
      <c r="K205" t="str">
        <f t="shared" si="3"/>
        <v>50</v>
      </c>
      <c r="L205">
        <v>50</v>
      </c>
      <c r="M205">
        <v>2.4</v>
      </c>
      <c r="N205" t="b">
        <v>0</v>
      </c>
      <c r="O205">
        <v>0.77</v>
      </c>
      <c r="P205" s="6">
        <v>0.77</v>
      </c>
      <c r="Q205" t="s">
        <v>1046</v>
      </c>
      <c r="R205" t="s">
        <v>1029</v>
      </c>
      <c r="S205">
        <v>6</v>
      </c>
      <c r="T205">
        <v>9</v>
      </c>
    </row>
    <row r="206" spans="1:20" x14ac:dyDescent="0.25">
      <c r="A206" t="s">
        <v>439</v>
      </c>
      <c r="B206" t="s">
        <v>1393</v>
      </c>
      <c r="C206" t="s">
        <v>1163</v>
      </c>
      <c r="E206" t="s">
        <v>1694</v>
      </c>
      <c r="G206" t="s">
        <v>1022</v>
      </c>
      <c r="H206" s="10" t="s">
        <v>1054</v>
      </c>
      <c r="I206">
        <v>29</v>
      </c>
      <c r="J206" t="s">
        <v>31</v>
      </c>
      <c r="K206" t="str">
        <f t="shared" si="3"/>
        <v>$30</v>
      </c>
      <c r="L206">
        <v>30</v>
      </c>
      <c r="M206">
        <v>1.7</v>
      </c>
      <c r="N206" t="b">
        <v>0</v>
      </c>
      <c r="O206">
        <v>68</v>
      </c>
      <c r="P206" s="6">
        <v>0.68</v>
      </c>
      <c r="Q206" t="s">
        <v>1045</v>
      </c>
      <c r="R206" t="s">
        <v>1025</v>
      </c>
      <c r="S206">
        <v>19</v>
      </c>
      <c r="T206">
        <v>2</v>
      </c>
    </row>
    <row r="207" spans="1:20" x14ac:dyDescent="0.25">
      <c r="A207" t="s">
        <v>441</v>
      </c>
      <c r="B207" t="s">
        <v>1394</v>
      </c>
      <c r="C207" t="s">
        <v>1395</v>
      </c>
      <c r="E207" t="s">
        <v>1819</v>
      </c>
      <c r="G207" t="s">
        <v>1066</v>
      </c>
      <c r="H207" s="10" t="s">
        <v>1031</v>
      </c>
      <c r="I207">
        <v>0</v>
      </c>
      <c r="J207">
        <v>20</v>
      </c>
      <c r="K207" t="str">
        <f t="shared" si="3"/>
        <v>20</v>
      </c>
      <c r="L207">
        <v>20</v>
      </c>
      <c r="M207">
        <v>1.8</v>
      </c>
      <c r="N207" t="b">
        <v>0</v>
      </c>
      <c r="O207">
        <v>0.91</v>
      </c>
      <c r="P207" s="6">
        <v>0.91</v>
      </c>
      <c r="Q207" t="s">
        <v>1046</v>
      </c>
      <c r="R207" t="s">
        <v>1029</v>
      </c>
      <c r="S207">
        <v>4</v>
      </c>
      <c r="T207">
        <v>1</v>
      </c>
    </row>
    <row r="208" spans="1:20" x14ac:dyDescent="0.25">
      <c r="A208" t="s">
        <v>443</v>
      </c>
      <c r="B208" t="s">
        <v>1396</v>
      </c>
      <c r="C208" t="s">
        <v>1397</v>
      </c>
      <c r="E208" t="s">
        <v>1820</v>
      </c>
      <c r="G208" t="s">
        <v>1027</v>
      </c>
      <c r="H208" s="10" t="s">
        <v>1049</v>
      </c>
      <c r="I208">
        <v>5</v>
      </c>
      <c r="J208">
        <v>20</v>
      </c>
      <c r="K208" t="str">
        <f t="shared" si="3"/>
        <v>20</v>
      </c>
      <c r="L208">
        <v>20</v>
      </c>
      <c r="M208">
        <v>2.2000000000000002</v>
      </c>
      <c r="N208" t="b">
        <v>0</v>
      </c>
      <c r="O208">
        <v>0.75</v>
      </c>
      <c r="P208" s="6">
        <v>0.75</v>
      </c>
      <c r="Q208" t="s">
        <v>1045</v>
      </c>
      <c r="R208" t="s">
        <v>1032</v>
      </c>
      <c r="S208">
        <v>1</v>
      </c>
      <c r="T208">
        <v>5</v>
      </c>
    </row>
    <row r="209" spans="1:20" x14ac:dyDescent="0.25">
      <c r="A209" t="s">
        <v>445</v>
      </c>
      <c r="B209" t="s">
        <v>1398</v>
      </c>
      <c r="C209" t="s">
        <v>1399</v>
      </c>
      <c r="E209" t="s">
        <v>1821</v>
      </c>
      <c r="G209" t="s">
        <v>1048</v>
      </c>
      <c r="H209" s="10" t="s">
        <v>1023</v>
      </c>
      <c r="I209">
        <v>11</v>
      </c>
      <c r="J209">
        <v>40</v>
      </c>
      <c r="K209" t="str">
        <f t="shared" si="3"/>
        <v>40</v>
      </c>
      <c r="L209">
        <v>40</v>
      </c>
      <c r="M209">
        <v>1</v>
      </c>
      <c r="N209" t="b">
        <v>0</v>
      </c>
      <c r="O209">
        <v>0.9</v>
      </c>
      <c r="P209" s="6">
        <v>0.9</v>
      </c>
      <c r="Q209" t="s">
        <v>1038</v>
      </c>
      <c r="R209" t="s">
        <v>1032</v>
      </c>
      <c r="S209">
        <v>11</v>
      </c>
      <c r="T209">
        <v>1</v>
      </c>
    </row>
    <row r="210" spans="1:20" x14ac:dyDescent="0.25">
      <c r="A210" t="s">
        <v>447</v>
      </c>
      <c r="B210" t="s">
        <v>1356</v>
      </c>
      <c r="C210" t="s">
        <v>1400</v>
      </c>
      <c r="D210" t="s">
        <v>1321</v>
      </c>
      <c r="E210" t="s">
        <v>1822</v>
      </c>
      <c r="G210" t="s">
        <v>1070</v>
      </c>
      <c r="H210" s="10" t="s">
        <v>1035</v>
      </c>
      <c r="I210">
        <v>11</v>
      </c>
      <c r="J210" t="s">
        <v>122</v>
      </c>
      <c r="K210" t="str">
        <f t="shared" si="3"/>
        <v>$75</v>
      </c>
      <c r="L210">
        <v>75</v>
      </c>
      <c r="M210">
        <v>3.2</v>
      </c>
      <c r="N210" t="b">
        <v>0</v>
      </c>
      <c r="O210">
        <v>93</v>
      </c>
      <c r="P210" s="6">
        <v>0.93</v>
      </c>
      <c r="Q210" t="s">
        <v>1045</v>
      </c>
      <c r="R210" t="s">
        <v>1029</v>
      </c>
      <c r="S210">
        <v>10</v>
      </c>
      <c r="T210">
        <v>3</v>
      </c>
    </row>
    <row r="211" spans="1:20" x14ac:dyDescent="0.25">
      <c r="A211" t="s">
        <v>449</v>
      </c>
      <c r="B211" t="s">
        <v>1133</v>
      </c>
      <c r="C211" t="s">
        <v>1401</v>
      </c>
      <c r="E211" t="s">
        <v>1823</v>
      </c>
      <c r="G211" t="s">
        <v>1030</v>
      </c>
      <c r="H211" s="10" t="s">
        <v>1041</v>
      </c>
      <c r="I211">
        <v>15</v>
      </c>
      <c r="J211">
        <v>40</v>
      </c>
      <c r="K211" t="str">
        <f t="shared" si="3"/>
        <v>40</v>
      </c>
      <c r="L211">
        <v>40</v>
      </c>
      <c r="M211">
        <v>2.1</v>
      </c>
      <c r="N211" t="b">
        <v>1</v>
      </c>
      <c r="O211">
        <v>0.94</v>
      </c>
      <c r="P211" s="6">
        <v>0.94</v>
      </c>
      <c r="Q211" t="s">
        <v>1038</v>
      </c>
      <c r="R211" t="s">
        <v>1042</v>
      </c>
      <c r="S211">
        <v>8</v>
      </c>
      <c r="T211">
        <v>10</v>
      </c>
    </row>
    <row r="212" spans="1:20" x14ac:dyDescent="0.25">
      <c r="A212" t="s">
        <v>451</v>
      </c>
      <c r="B212" t="s">
        <v>1402</v>
      </c>
      <c r="C212" t="s">
        <v>1371</v>
      </c>
      <c r="E212" t="s">
        <v>1824</v>
      </c>
      <c r="G212" t="s">
        <v>1027</v>
      </c>
      <c r="H212" s="10" t="s">
        <v>1028</v>
      </c>
      <c r="I212">
        <v>1</v>
      </c>
      <c r="J212" t="s">
        <v>64</v>
      </c>
      <c r="K212" t="str">
        <f t="shared" si="3"/>
        <v>USD 50</v>
      </c>
      <c r="L212">
        <v>50</v>
      </c>
      <c r="M212">
        <v>4.5999999999999996</v>
      </c>
      <c r="N212" t="b">
        <v>1</v>
      </c>
      <c r="O212">
        <v>64</v>
      </c>
      <c r="P212" s="6">
        <v>0.64</v>
      </c>
      <c r="Q212" t="s">
        <v>1045</v>
      </c>
      <c r="R212" t="s">
        <v>1029</v>
      </c>
      <c r="S212">
        <v>4</v>
      </c>
      <c r="T212">
        <v>2</v>
      </c>
    </row>
    <row r="213" spans="1:20" x14ac:dyDescent="0.25">
      <c r="A213" t="s">
        <v>453</v>
      </c>
      <c r="B213" t="s">
        <v>1403</v>
      </c>
      <c r="C213" t="s">
        <v>1404</v>
      </c>
      <c r="E213" t="s">
        <v>1825</v>
      </c>
      <c r="G213" t="s">
        <v>1059</v>
      </c>
      <c r="H213" s="10" t="s">
        <v>1050</v>
      </c>
      <c r="I213">
        <v>8</v>
      </c>
      <c r="J213" t="s">
        <v>82</v>
      </c>
      <c r="K213" t="str">
        <f t="shared" si="3"/>
        <v>$20</v>
      </c>
      <c r="L213">
        <v>20</v>
      </c>
      <c r="M213">
        <v>0</v>
      </c>
      <c r="N213" t="b">
        <v>1</v>
      </c>
      <c r="O213">
        <v>0.84</v>
      </c>
      <c r="P213" s="6">
        <v>0.84</v>
      </c>
      <c r="Q213" t="s">
        <v>1024</v>
      </c>
      <c r="R213" t="s">
        <v>1029</v>
      </c>
      <c r="S213">
        <v>8</v>
      </c>
      <c r="T213">
        <v>5</v>
      </c>
    </row>
    <row r="214" spans="1:20" x14ac:dyDescent="0.25">
      <c r="A214" t="s">
        <v>455</v>
      </c>
      <c r="B214" t="s">
        <v>1405</v>
      </c>
      <c r="C214" t="s">
        <v>1099</v>
      </c>
      <c r="E214" t="s">
        <v>1662</v>
      </c>
      <c r="G214" t="s">
        <v>1022</v>
      </c>
      <c r="H214" s="10" t="s">
        <v>1035</v>
      </c>
      <c r="I214">
        <v>30</v>
      </c>
      <c r="J214" t="s">
        <v>82</v>
      </c>
      <c r="K214" t="str">
        <f t="shared" si="3"/>
        <v>$20</v>
      </c>
      <c r="L214">
        <v>20</v>
      </c>
      <c r="M214">
        <v>2.8</v>
      </c>
      <c r="N214" t="s">
        <v>111</v>
      </c>
      <c r="O214">
        <v>0.87</v>
      </c>
      <c r="P214" s="6">
        <v>0.87</v>
      </c>
      <c r="Q214" t="s">
        <v>1038</v>
      </c>
      <c r="R214" t="s">
        <v>1032</v>
      </c>
      <c r="S214">
        <v>12</v>
      </c>
      <c r="T214">
        <v>5</v>
      </c>
    </row>
    <row r="215" spans="1:20" x14ac:dyDescent="0.25">
      <c r="A215" t="s">
        <v>457</v>
      </c>
      <c r="B215" t="s">
        <v>1148</v>
      </c>
      <c r="C215" t="s">
        <v>1406</v>
      </c>
      <c r="E215" t="s">
        <v>1826</v>
      </c>
      <c r="G215" t="s">
        <v>1030</v>
      </c>
      <c r="H215" s="10" t="s">
        <v>1023</v>
      </c>
      <c r="I215">
        <v>8</v>
      </c>
      <c r="J215" t="s">
        <v>26</v>
      </c>
      <c r="K215" t="str">
        <f t="shared" si="3"/>
        <v>$40</v>
      </c>
      <c r="L215">
        <v>40</v>
      </c>
      <c r="M215">
        <v>0</v>
      </c>
      <c r="N215" t="b">
        <v>0</v>
      </c>
      <c r="O215">
        <v>0.64</v>
      </c>
      <c r="P215" s="6">
        <v>0.64</v>
      </c>
      <c r="Q215" t="s">
        <v>1045</v>
      </c>
      <c r="R215" t="s">
        <v>1025</v>
      </c>
      <c r="S215">
        <v>14</v>
      </c>
      <c r="T215">
        <v>4</v>
      </c>
    </row>
    <row r="216" spans="1:20" x14ac:dyDescent="0.25">
      <c r="A216" t="s">
        <v>459</v>
      </c>
      <c r="B216" t="s">
        <v>1407</v>
      </c>
      <c r="C216" t="s">
        <v>1408</v>
      </c>
      <c r="E216" t="s">
        <v>1827</v>
      </c>
      <c r="G216" t="s">
        <v>1040</v>
      </c>
      <c r="H216" s="10" t="s">
        <v>1035</v>
      </c>
      <c r="I216">
        <v>0</v>
      </c>
      <c r="J216">
        <v>100</v>
      </c>
      <c r="K216" t="str">
        <f t="shared" si="3"/>
        <v>100</v>
      </c>
      <c r="L216">
        <v>100</v>
      </c>
      <c r="M216">
        <v>2.7</v>
      </c>
      <c r="N216" t="b">
        <v>1</v>
      </c>
      <c r="O216">
        <v>0.64</v>
      </c>
      <c r="P216" s="6">
        <v>0.64</v>
      </c>
      <c r="Q216" t="s">
        <v>1024</v>
      </c>
      <c r="R216" t="s">
        <v>1032</v>
      </c>
      <c r="S216">
        <v>1</v>
      </c>
      <c r="T216">
        <v>1</v>
      </c>
    </row>
    <row r="217" spans="1:20" x14ac:dyDescent="0.25">
      <c r="A217" t="s">
        <v>461</v>
      </c>
      <c r="B217" t="s">
        <v>1409</v>
      </c>
      <c r="C217" t="s">
        <v>1168</v>
      </c>
      <c r="E217" t="s">
        <v>1697</v>
      </c>
      <c r="G217" t="s">
        <v>1056</v>
      </c>
      <c r="H217" s="10" t="s">
        <v>1035</v>
      </c>
      <c r="I217">
        <v>12</v>
      </c>
      <c r="J217" t="s">
        <v>82</v>
      </c>
      <c r="K217" t="str">
        <f t="shared" si="3"/>
        <v>$20</v>
      </c>
      <c r="L217">
        <v>20</v>
      </c>
      <c r="M217">
        <v>0</v>
      </c>
      <c r="N217" t="b">
        <v>1</v>
      </c>
      <c r="O217">
        <v>0.8</v>
      </c>
      <c r="P217" s="6">
        <v>0.8</v>
      </c>
      <c r="Q217" t="s">
        <v>1038</v>
      </c>
      <c r="R217" t="s">
        <v>1025</v>
      </c>
      <c r="S217">
        <v>8</v>
      </c>
      <c r="T217">
        <v>13</v>
      </c>
    </row>
    <row r="218" spans="1:20" x14ac:dyDescent="0.25">
      <c r="A218" t="s">
        <v>463</v>
      </c>
      <c r="B218" t="s">
        <v>1410</v>
      </c>
      <c r="C218" t="s">
        <v>1354</v>
      </c>
      <c r="E218" t="s">
        <v>1795</v>
      </c>
      <c r="G218" t="s">
        <v>1048</v>
      </c>
      <c r="H218" s="10" t="s">
        <v>1028</v>
      </c>
      <c r="I218">
        <v>4</v>
      </c>
      <c r="J218" t="s">
        <v>44</v>
      </c>
      <c r="K218" t="str">
        <f t="shared" si="3"/>
        <v>$50</v>
      </c>
      <c r="L218">
        <v>50</v>
      </c>
      <c r="M218">
        <v>3.1</v>
      </c>
      <c r="N218" t="b">
        <v>0</v>
      </c>
      <c r="O218">
        <v>0.9</v>
      </c>
      <c r="P218" s="6">
        <v>0.9</v>
      </c>
      <c r="Q218" t="s">
        <v>1024</v>
      </c>
      <c r="R218" t="s">
        <v>1032</v>
      </c>
      <c r="S218">
        <v>2</v>
      </c>
      <c r="T218">
        <v>1</v>
      </c>
    </row>
    <row r="219" spans="1:20" x14ac:dyDescent="0.25">
      <c r="A219" t="s">
        <v>465</v>
      </c>
      <c r="B219" t="s">
        <v>1147</v>
      </c>
      <c r="C219" t="s">
        <v>1411</v>
      </c>
      <c r="E219" t="s">
        <v>1828</v>
      </c>
      <c r="G219" t="s">
        <v>1059</v>
      </c>
      <c r="H219" s="10" t="s">
        <v>1033</v>
      </c>
      <c r="I219">
        <v>14</v>
      </c>
      <c r="J219" t="s">
        <v>21</v>
      </c>
      <c r="K219" t="str">
        <f t="shared" si="3"/>
        <v>USD 100</v>
      </c>
      <c r="L219">
        <v>100</v>
      </c>
      <c r="M219">
        <v>0</v>
      </c>
      <c r="N219" t="b">
        <v>1</v>
      </c>
      <c r="O219">
        <v>0.92</v>
      </c>
      <c r="P219" s="6">
        <v>0.92</v>
      </c>
      <c r="Q219" t="s">
        <v>1046</v>
      </c>
      <c r="R219" t="s">
        <v>1029</v>
      </c>
      <c r="S219">
        <v>7</v>
      </c>
      <c r="T219">
        <v>9</v>
      </c>
    </row>
    <row r="220" spans="1:20" x14ac:dyDescent="0.25">
      <c r="A220" t="s">
        <v>467</v>
      </c>
      <c r="B220" t="s">
        <v>1104</v>
      </c>
      <c r="C220" t="s">
        <v>1412</v>
      </c>
      <c r="E220" t="s">
        <v>1829</v>
      </c>
      <c r="G220" t="s">
        <v>1040</v>
      </c>
      <c r="H220" s="10" t="s">
        <v>1031</v>
      </c>
      <c r="I220">
        <v>14</v>
      </c>
      <c r="K220" t="str">
        <f t="shared" si="3"/>
        <v/>
      </c>
      <c r="L220">
        <v>70</v>
      </c>
      <c r="M220">
        <v>2.4</v>
      </c>
      <c r="N220" t="b">
        <v>0</v>
      </c>
      <c r="O220">
        <v>0.96</v>
      </c>
      <c r="P220" s="6">
        <v>0.96</v>
      </c>
      <c r="Q220" t="s">
        <v>1046</v>
      </c>
      <c r="R220" t="s">
        <v>1032</v>
      </c>
      <c r="S220">
        <v>14</v>
      </c>
      <c r="T220">
        <v>3</v>
      </c>
    </row>
    <row r="221" spans="1:20" x14ac:dyDescent="0.25">
      <c r="A221" t="s">
        <v>469</v>
      </c>
      <c r="B221" t="s">
        <v>1413</v>
      </c>
      <c r="C221" t="s">
        <v>1414</v>
      </c>
      <c r="E221" t="s">
        <v>1830</v>
      </c>
      <c r="G221" t="s">
        <v>1027</v>
      </c>
      <c r="H221" s="10" t="s">
        <v>1049</v>
      </c>
      <c r="I221">
        <v>2</v>
      </c>
      <c r="J221" t="s">
        <v>31</v>
      </c>
      <c r="K221" t="str">
        <f t="shared" si="3"/>
        <v>$30</v>
      </c>
      <c r="L221">
        <v>30</v>
      </c>
      <c r="M221">
        <v>2.2999999999999998</v>
      </c>
      <c r="N221" t="b">
        <v>1</v>
      </c>
      <c r="P221" s="6">
        <v>0.78</v>
      </c>
      <c r="Q221" t="s">
        <v>1038</v>
      </c>
      <c r="R221" t="s">
        <v>1032</v>
      </c>
      <c r="S221">
        <v>4</v>
      </c>
      <c r="T221">
        <v>4</v>
      </c>
    </row>
    <row r="222" spans="1:20" x14ac:dyDescent="0.25">
      <c r="A222" t="s">
        <v>471</v>
      </c>
      <c r="B222" t="s">
        <v>1133</v>
      </c>
      <c r="C222" t="s">
        <v>1415</v>
      </c>
      <c r="E222" t="s">
        <v>1831</v>
      </c>
      <c r="G222" t="s">
        <v>1070</v>
      </c>
      <c r="H222" s="10" t="s">
        <v>1050</v>
      </c>
      <c r="I222">
        <v>2</v>
      </c>
      <c r="J222">
        <v>100</v>
      </c>
      <c r="K222" t="str">
        <f t="shared" si="3"/>
        <v>100</v>
      </c>
      <c r="L222">
        <v>100</v>
      </c>
      <c r="M222">
        <v>2.4</v>
      </c>
      <c r="N222" t="b">
        <v>1</v>
      </c>
      <c r="P222" s="6">
        <v>0.78</v>
      </c>
      <c r="Q222" t="s">
        <v>1045</v>
      </c>
      <c r="R222" t="s">
        <v>1032</v>
      </c>
      <c r="S222">
        <v>3</v>
      </c>
      <c r="T222">
        <v>1</v>
      </c>
    </row>
    <row r="223" spans="1:20" x14ac:dyDescent="0.25">
      <c r="A223" t="s">
        <v>473</v>
      </c>
      <c r="B223" t="s">
        <v>1125</v>
      </c>
      <c r="C223" t="s">
        <v>1416</v>
      </c>
      <c r="E223" t="s">
        <v>1832</v>
      </c>
      <c r="G223" t="s">
        <v>1059</v>
      </c>
      <c r="H223" s="10" t="s">
        <v>1035</v>
      </c>
      <c r="I223">
        <v>4</v>
      </c>
      <c r="J223">
        <v>75</v>
      </c>
      <c r="K223" t="str">
        <f t="shared" si="3"/>
        <v>75</v>
      </c>
      <c r="L223">
        <v>75</v>
      </c>
      <c r="M223">
        <v>2.6</v>
      </c>
      <c r="N223" t="b">
        <v>0</v>
      </c>
      <c r="O223">
        <v>0.85</v>
      </c>
      <c r="P223" s="6">
        <v>0.85</v>
      </c>
      <c r="Q223" t="s">
        <v>1038</v>
      </c>
      <c r="R223" t="s">
        <v>1029</v>
      </c>
      <c r="S223">
        <v>4</v>
      </c>
      <c r="T223">
        <v>1</v>
      </c>
    </row>
    <row r="224" spans="1:20" x14ac:dyDescent="0.25">
      <c r="A224" t="s">
        <v>475</v>
      </c>
      <c r="B224" t="s">
        <v>1110</v>
      </c>
      <c r="C224" t="s">
        <v>1417</v>
      </c>
      <c r="E224" t="s">
        <v>1833</v>
      </c>
      <c r="G224" t="s">
        <v>1027</v>
      </c>
      <c r="H224" s="10" t="s">
        <v>30</v>
      </c>
      <c r="I224">
        <v>0</v>
      </c>
      <c r="J224" t="s">
        <v>37</v>
      </c>
      <c r="K224" t="str">
        <f t="shared" si="3"/>
        <v>USD 40</v>
      </c>
      <c r="L224">
        <v>40</v>
      </c>
      <c r="M224">
        <v>1.1000000000000001</v>
      </c>
      <c r="N224" t="b">
        <v>0</v>
      </c>
      <c r="O224">
        <v>0.79</v>
      </c>
      <c r="P224" s="6">
        <v>0.79</v>
      </c>
      <c r="Q224" t="s">
        <v>1024</v>
      </c>
      <c r="R224" t="s">
        <v>1029</v>
      </c>
      <c r="S224">
        <v>5</v>
      </c>
      <c r="T224">
        <v>2</v>
      </c>
    </row>
    <row r="225" spans="1:20" x14ac:dyDescent="0.25">
      <c r="A225" t="s">
        <v>477</v>
      </c>
      <c r="B225" t="s">
        <v>1418</v>
      </c>
      <c r="C225" t="s">
        <v>1163</v>
      </c>
      <c r="E225" t="s">
        <v>1694</v>
      </c>
      <c r="G225" t="s">
        <v>1070</v>
      </c>
      <c r="H225" s="10" t="s">
        <v>1035</v>
      </c>
      <c r="I225">
        <v>9</v>
      </c>
      <c r="J225">
        <v>30</v>
      </c>
      <c r="K225" t="str">
        <f t="shared" si="3"/>
        <v>30</v>
      </c>
      <c r="L225">
        <v>30</v>
      </c>
      <c r="M225">
        <v>0</v>
      </c>
      <c r="N225" t="b">
        <v>1</v>
      </c>
      <c r="O225">
        <v>0.65</v>
      </c>
      <c r="P225" s="6">
        <v>0.65</v>
      </c>
      <c r="Q225" t="s">
        <v>1045</v>
      </c>
      <c r="R225" t="s">
        <v>1029</v>
      </c>
      <c r="S225">
        <v>15</v>
      </c>
      <c r="T225">
        <v>6</v>
      </c>
    </row>
    <row r="226" spans="1:20" x14ac:dyDescent="0.25">
      <c r="A226" t="s">
        <v>479</v>
      </c>
      <c r="B226" t="s">
        <v>1419</v>
      </c>
      <c r="C226" t="s">
        <v>1099</v>
      </c>
      <c r="E226" t="s">
        <v>1662</v>
      </c>
      <c r="G226" t="s">
        <v>1027</v>
      </c>
      <c r="H226" s="10" t="s">
        <v>1035</v>
      </c>
      <c r="I226">
        <v>3</v>
      </c>
      <c r="J226">
        <v>40</v>
      </c>
      <c r="K226" t="str">
        <f t="shared" si="3"/>
        <v>40</v>
      </c>
      <c r="L226">
        <v>40</v>
      </c>
      <c r="M226">
        <v>4.7</v>
      </c>
      <c r="N226" t="b">
        <v>0</v>
      </c>
      <c r="O226">
        <v>0.63</v>
      </c>
      <c r="P226" s="6">
        <v>0.63</v>
      </c>
      <c r="Q226" t="s">
        <v>1046</v>
      </c>
      <c r="R226" t="s">
        <v>1029</v>
      </c>
      <c r="S226">
        <v>1</v>
      </c>
      <c r="T226">
        <v>5</v>
      </c>
    </row>
    <row r="227" spans="1:20" x14ac:dyDescent="0.25">
      <c r="A227" t="s">
        <v>481</v>
      </c>
      <c r="B227" t="s">
        <v>1405</v>
      </c>
      <c r="C227" t="s">
        <v>1420</v>
      </c>
      <c r="E227" t="s">
        <v>1834</v>
      </c>
      <c r="G227" t="s">
        <v>1068</v>
      </c>
      <c r="H227" s="10" t="s">
        <v>1033</v>
      </c>
      <c r="I227">
        <v>2</v>
      </c>
      <c r="J227" t="s">
        <v>26</v>
      </c>
      <c r="K227" t="str">
        <f t="shared" si="3"/>
        <v>$40</v>
      </c>
      <c r="L227">
        <v>40</v>
      </c>
      <c r="M227">
        <v>1.2</v>
      </c>
      <c r="N227" t="b">
        <v>0</v>
      </c>
      <c r="P227" s="6">
        <v>0.78</v>
      </c>
      <c r="Q227" t="s">
        <v>1045</v>
      </c>
      <c r="R227" t="s">
        <v>1025</v>
      </c>
      <c r="S227">
        <v>1</v>
      </c>
      <c r="T227">
        <v>1</v>
      </c>
    </row>
    <row r="228" spans="1:20" x14ac:dyDescent="0.25">
      <c r="A228" t="s">
        <v>483</v>
      </c>
      <c r="B228" t="s">
        <v>1421</v>
      </c>
      <c r="C228" t="s">
        <v>1422</v>
      </c>
      <c r="E228" t="s">
        <v>1835</v>
      </c>
      <c r="G228" t="s">
        <v>1030</v>
      </c>
      <c r="H228" s="10" t="s">
        <v>1035</v>
      </c>
      <c r="I228">
        <v>10</v>
      </c>
      <c r="J228" t="s">
        <v>37</v>
      </c>
      <c r="K228" t="str">
        <f t="shared" si="3"/>
        <v>USD 40</v>
      </c>
      <c r="L228">
        <v>40</v>
      </c>
      <c r="M228">
        <v>1.2</v>
      </c>
      <c r="N228" t="b">
        <v>0</v>
      </c>
      <c r="O228">
        <v>0.78</v>
      </c>
      <c r="P228" s="6">
        <v>0.78</v>
      </c>
      <c r="Q228" t="s">
        <v>1046</v>
      </c>
      <c r="R228" t="s">
        <v>1025</v>
      </c>
      <c r="S228">
        <v>7</v>
      </c>
      <c r="T228">
        <v>6</v>
      </c>
    </row>
    <row r="229" spans="1:20" x14ac:dyDescent="0.25">
      <c r="A229" t="s">
        <v>485</v>
      </c>
      <c r="B229" t="s">
        <v>1423</v>
      </c>
      <c r="C229" t="s">
        <v>1390</v>
      </c>
      <c r="E229" t="s">
        <v>1817</v>
      </c>
      <c r="G229" t="s">
        <v>1027</v>
      </c>
      <c r="H229" s="10" t="s">
        <v>1031</v>
      </c>
      <c r="I229">
        <v>33</v>
      </c>
      <c r="J229" t="s">
        <v>122</v>
      </c>
      <c r="K229" t="str">
        <f t="shared" si="3"/>
        <v>$75</v>
      </c>
      <c r="L229">
        <v>75</v>
      </c>
      <c r="M229">
        <v>0</v>
      </c>
      <c r="N229" t="b">
        <v>1</v>
      </c>
      <c r="O229">
        <v>0.62</v>
      </c>
      <c r="P229" s="6">
        <v>0.62</v>
      </c>
      <c r="Q229" t="s">
        <v>1045</v>
      </c>
      <c r="R229" t="s">
        <v>1042</v>
      </c>
      <c r="S229">
        <v>18</v>
      </c>
      <c r="T229">
        <v>9</v>
      </c>
    </row>
    <row r="230" spans="1:20" x14ac:dyDescent="0.25">
      <c r="A230" t="s">
        <v>487</v>
      </c>
      <c r="B230" t="s">
        <v>1365</v>
      </c>
      <c r="C230" t="s">
        <v>1424</v>
      </c>
      <c r="E230" t="s">
        <v>1836</v>
      </c>
      <c r="G230" t="s">
        <v>1048</v>
      </c>
      <c r="H230" s="10" t="s">
        <v>1035</v>
      </c>
      <c r="I230">
        <v>12</v>
      </c>
      <c r="J230">
        <v>40</v>
      </c>
      <c r="K230" t="str">
        <f t="shared" si="3"/>
        <v>40</v>
      </c>
      <c r="L230">
        <v>40</v>
      </c>
      <c r="M230">
        <v>1.2</v>
      </c>
      <c r="N230" t="b">
        <v>0</v>
      </c>
      <c r="O230">
        <v>0.76</v>
      </c>
      <c r="P230" s="6">
        <v>0.76</v>
      </c>
      <c r="Q230" t="s">
        <v>1045</v>
      </c>
      <c r="R230" t="s">
        <v>1029</v>
      </c>
      <c r="S230">
        <v>14</v>
      </c>
      <c r="T230">
        <v>3</v>
      </c>
    </row>
    <row r="231" spans="1:20" x14ac:dyDescent="0.25">
      <c r="A231" t="s">
        <v>489</v>
      </c>
      <c r="B231" t="s">
        <v>1140</v>
      </c>
      <c r="C231" t="s">
        <v>1425</v>
      </c>
      <c r="E231" t="s">
        <v>1837</v>
      </c>
      <c r="G231" t="s">
        <v>1040</v>
      </c>
      <c r="H231" s="10" t="s">
        <v>1023</v>
      </c>
      <c r="I231">
        <v>18</v>
      </c>
      <c r="J231">
        <v>100</v>
      </c>
      <c r="K231" t="str">
        <f t="shared" si="3"/>
        <v>100</v>
      </c>
      <c r="L231">
        <v>100</v>
      </c>
      <c r="M231">
        <v>2.9</v>
      </c>
      <c r="N231" t="b">
        <v>0</v>
      </c>
      <c r="O231">
        <v>97</v>
      </c>
      <c r="P231" s="6">
        <v>0.97</v>
      </c>
      <c r="Q231" t="s">
        <v>1045</v>
      </c>
      <c r="R231" t="s">
        <v>1025</v>
      </c>
      <c r="S231">
        <v>12</v>
      </c>
      <c r="T231">
        <v>9</v>
      </c>
    </row>
    <row r="232" spans="1:20" x14ac:dyDescent="0.25">
      <c r="A232" t="s">
        <v>491</v>
      </c>
      <c r="B232" t="s">
        <v>1426</v>
      </c>
      <c r="C232" t="s">
        <v>1154</v>
      </c>
      <c r="E232" t="s">
        <v>1689</v>
      </c>
      <c r="G232" t="s">
        <v>1058</v>
      </c>
      <c r="H232" s="10" t="s">
        <v>1023</v>
      </c>
      <c r="I232">
        <v>4</v>
      </c>
      <c r="K232" t="str">
        <f t="shared" si="3"/>
        <v/>
      </c>
      <c r="L232">
        <v>70</v>
      </c>
      <c r="M232">
        <v>2.4</v>
      </c>
      <c r="N232" t="b">
        <v>0</v>
      </c>
      <c r="P232" s="6">
        <v>0.78</v>
      </c>
      <c r="Q232" t="s">
        <v>1024</v>
      </c>
      <c r="R232" t="s">
        <v>1032</v>
      </c>
      <c r="S232">
        <v>3</v>
      </c>
      <c r="T232">
        <v>2</v>
      </c>
    </row>
    <row r="233" spans="1:20" x14ac:dyDescent="0.25">
      <c r="A233" t="s">
        <v>493</v>
      </c>
      <c r="B233" t="s">
        <v>1427</v>
      </c>
      <c r="C233" t="s">
        <v>1428</v>
      </c>
      <c r="E233" t="s">
        <v>1838</v>
      </c>
      <c r="G233" t="s">
        <v>1066</v>
      </c>
      <c r="H233" s="10" t="s">
        <v>1041</v>
      </c>
      <c r="I233">
        <v>11</v>
      </c>
      <c r="J233" t="s">
        <v>44</v>
      </c>
      <c r="K233" t="str">
        <f t="shared" si="3"/>
        <v>$50</v>
      </c>
      <c r="L233">
        <v>50</v>
      </c>
      <c r="M233">
        <v>3.9</v>
      </c>
      <c r="N233" t="b">
        <v>1</v>
      </c>
      <c r="O233">
        <v>0.82</v>
      </c>
      <c r="P233" s="6">
        <v>0.82</v>
      </c>
      <c r="Q233" t="s">
        <v>1024</v>
      </c>
      <c r="R233" t="s">
        <v>1029</v>
      </c>
      <c r="S233">
        <v>13</v>
      </c>
      <c r="T233">
        <v>2</v>
      </c>
    </row>
    <row r="234" spans="1:20" x14ac:dyDescent="0.25">
      <c r="A234" t="s">
        <v>495</v>
      </c>
      <c r="B234" t="s">
        <v>1148</v>
      </c>
      <c r="C234" t="s">
        <v>1163</v>
      </c>
      <c r="D234" t="s">
        <v>1321</v>
      </c>
      <c r="E234" t="s">
        <v>1839</v>
      </c>
      <c r="G234" t="s">
        <v>1064</v>
      </c>
      <c r="H234" s="10" t="s">
        <v>1041</v>
      </c>
      <c r="I234">
        <v>1</v>
      </c>
      <c r="J234">
        <v>50</v>
      </c>
      <c r="K234" t="str">
        <f t="shared" si="3"/>
        <v>50</v>
      </c>
      <c r="L234">
        <v>50</v>
      </c>
      <c r="M234">
        <v>3.1</v>
      </c>
      <c r="N234" t="b">
        <v>0</v>
      </c>
      <c r="O234">
        <v>0.71</v>
      </c>
      <c r="P234" s="6">
        <v>0.71</v>
      </c>
      <c r="Q234" t="s">
        <v>1038</v>
      </c>
      <c r="R234" t="s">
        <v>1042</v>
      </c>
      <c r="S234">
        <v>4</v>
      </c>
      <c r="T234">
        <v>3</v>
      </c>
    </row>
    <row r="235" spans="1:20" x14ac:dyDescent="0.25">
      <c r="A235" t="s">
        <v>497</v>
      </c>
      <c r="B235" t="s">
        <v>1106</v>
      </c>
      <c r="C235" t="s">
        <v>1105</v>
      </c>
      <c r="E235" t="s">
        <v>1665</v>
      </c>
      <c r="G235" t="s">
        <v>1048</v>
      </c>
      <c r="H235" s="10" t="s">
        <v>1049</v>
      </c>
      <c r="I235">
        <v>2</v>
      </c>
      <c r="K235" t="str">
        <f t="shared" si="3"/>
        <v/>
      </c>
      <c r="L235">
        <v>70</v>
      </c>
      <c r="M235">
        <v>0</v>
      </c>
      <c r="N235" t="b">
        <v>1</v>
      </c>
      <c r="P235" s="6">
        <v>0.78</v>
      </c>
      <c r="Q235" t="s">
        <v>1038</v>
      </c>
      <c r="R235" t="s">
        <v>1042</v>
      </c>
      <c r="S235">
        <v>5</v>
      </c>
      <c r="T235">
        <v>1</v>
      </c>
    </row>
    <row r="236" spans="1:20" x14ac:dyDescent="0.25">
      <c r="A236" t="s">
        <v>499</v>
      </c>
      <c r="B236" t="s">
        <v>1429</v>
      </c>
      <c r="C236" t="s">
        <v>1430</v>
      </c>
      <c r="E236" t="s">
        <v>1840</v>
      </c>
      <c r="G236" t="s">
        <v>1059</v>
      </c>
      <c r="H236" s="10" t="s">
        <v>1031</v>
      </c>
      <c r="I236">
        <v>2</v>
      </c>
      <c r="J236">
        <v>50</v>
      </c>
      <c r="K236" t="str">
        <f t="shared" si="3"/>
        <v>50</v>
      </c>
      <c r="L236">
        <v>50</v>
      </c>
      <c r="M236">
        <v>3.2</v>
      </c>
      <c r="N236" t="b">
        <v>1</v>
      </c>
      <c r="P236" s="6">
        <v>0.78</v>
      </c>
      <c r="Q236" t="s">
        <v>1046</v>
      </c>
      <c r="R236" t="s">
        <v>1042</v>
      </c>
      <c r="S236">
        <v>2</v>
      </c>
      <c r="T236">
        <v>1</v>
      </c>
    </row>
    <row r="237" spans="1:20" x14ac:dyDescent="0.25">
      <c r="A237" t="s">
        <v>501</v>
      </c>
      <c r="B237" t="s">
        <v>1134</v>
      </c>
      <c r="C237" t="s">
        <v>1411</v>
      </c>
      <c r="E237" t="s">
        <v>1828</v>
      </c>
      <c r="G237" t="s">
        <v>1059</v>
      </c>
      <c r="H237" s="10" t="s">
        <v>1023</v>
      </c>
      <c r="I237">
        <v>34</v>
      </c>
      <c r="J237">
        <v>30</v>
      </c>
      <c r="K237" t="str">
        <f t="shared" si="3"/>
        <v>30</v>
      </c>
      <c r="L237">
        <v>30</v>
      </c>
      <c r="M237">
        <v>2.4</v>
      </c>
      <c r="N237" t="b">
        <v>1</v>
      </c>
      <c r="P237" s="6">
        <v>0.78</v>
      </c>
      <c r="Q237" t="s">
        <v>1024</v>
      </c>
      <c r="R237" t="s">
        <v>1032</v>
      </c>
      <c r="S237">
        <v>14</v>
      </c>
      <c r="T237">
        <v>9</v>
      </c>
    </row>
    <row r="238" spans="1:20" x14ac:dyDescent="0.25">
      <c r="A238" t="s">
        <v>503</v>
      </c>
      <c r="B238" t="s">
        <v>1239</v>
      </c>
      <c r="C238" t="s">
        <v>1431</v>
      </c>
      <c r="E238" t="s">
        <v>1841</v>
      </c>
      <c r="G238" t="s">
        <v>1059</v>
      </c>
      <c r="H238" s="10" t="s">
        <v>1031</v>
      </c>
      <c r="I238">
        <v>27</v>
      </c>
      <c r="J238">
        <v>100</v>
      </c>
      <c r="K238" t="str">
        <f t="shared" si="3"/>
        <v>100</v>
      </c>
      <c r="L238">
        <v>100</v>
      </c>
      <c r="M238">
        <v>4.7</v>
      </c>
      <c r="N238" t="b">
        <v>1</v>
      </c>
      <c r="O238">
        <v>0.69</v>
      </c>
      <c r="P238" s="6">
        <v>0.69</v>
      </c>
      <c r="Q238" t="s">
        <v>1046</v>
      </c>
      <c r="R238" t="s">
        <v>1025</v>
      </c>
      <c r="S238">
        <v>19</v>
      </c>
      <c r="T238">
        <v>7</v>
      </c>
    </row>
    <row r="239" spans="1:20" x14ac:dyDescent="0.25">
      <c r="A239" t="s">
        <v>505</v>
      </c>
      <c r="B239" t="s">
        <v>1432</v>
      </c>
      <c r="C239" t="s">
        <v>1433</v>
      </c>
      <c r="E239" t="s">
        <v>1842</v>
      </c>
      <c r="G239" t="s">
        <v>1027</v>
      </c>
      <c r="H239" s="10" t="s">
        <v>30</v>
      </c>
      <c r="I239">
        <v>4</v>
      </c>
      <c r="J239">
        <v>75</v>
      </c>
      <c r="K239" t="str">
        <f t="shared" si="3"/>
        <v>75</v>
      </c>
      <c r="L239">
        <v>75</v>
      </c>
      <c r="M239">
        <v>5</v>
      </c>
      <c r="N239" t="b">
        <v>0</v>
      </c>
      <c r="O239">
        <v>0.88</v>
      </c>
      <c r="P239" s="6">
        <v>0.88</v>
      </c>
      <c r="Q239" t="s">
        <v>1038</v>
      </c>
      <c r="R239" t="s">
        <v>1032</v>
      </c>
      <c r="S239">
        <v>5</v>
      </c>
      <c r="T239">
        <v>1</v>
      </c>
    </row>
    <row r="240" spans="1:20" x14ac:dyDescent="0.25">
      <c r="A240" t="s">
        <v>507</v>
      </c>
      <c r="B240" t="s">
        <v>1432</v>
      </c>
      <c r="C240" t="s">
        <v>1434</v>
      </c>
      <c r="E240" t="s">
        <v>1843</v>
      </c>
      <c r="G240" t="s">
        <v>1022</v>
      </c>
      <c r="H240" s="10" t="s">
        <v>1028</v>
      </c>
      <c r="I240">
        <v>11</v>
      </c>
      <c r="J240" t="s">
        <v>37</v>
      </c>
      <c r="K240" t="str">
        <f t="shared" si="3"/>
        <v>USD 40</v>
      </c>
      <c r="L240">
        <v>40</v>
      </c>
      <c r="M240">
        <v>2.4</v>
      </c>
      <c r="N240" t="b">
        <v>0</v>
      </c>
      <c r="O240">
        <v>0.67</v>
      </c>
      <c r="P240" s="6">
        <v>0.67</v>
      </c>
      <c r="Q240" t="s">
        <v>1046</v>
      </c>
      <c r="R240" t="s">
        <v>1029</v>
      </c>
      <c r="S240">
        <v>13</v>
      </c>
      <c r="T240">
        <v>9</v>
      </c>
    </row>
    <row r="241" spans="1:20" x14ac:dyDescent="0.25">
      <c r="A241" t="s">
        <v>509</v>
      </c>
      <c r="B241" t="s">
        <v>1189</v>
      </c>
      <c r="C241" t="s">
        <v>1435</v>
      </c>
      <c r="E241" t="s">
        <v>1844</v>
      </c>
      <c r="G241" t="s">
        <v>1027</v>
      </c>
      <c r="H241" s="10" t="s">
        <v>1033</v>
      </c>
      <c r="I241">
        <v>4</v>
      </c>
      <c r="J241" t="s">
        <v>64</v>
      </c>
      <c r="K241" t="str">
        <f t="shared" si="3"/>
        <v>USD 50</v>
      </c>
      <c r="L241">
        <v>50</v>
      </c>
      <c r="M241">
        <v>4</v>
      </c>
      <c r="N241" t="b">
        <v>0</v>
      </c>
      <c r="P241" s="6">
        <v>0.78</v>
      </c>
      <c r="Q241" t="s">
        <v>1038</v>
      </c>
      <c r="R241" t="s">
        <v>1042</v>
      </c>
      <c r="S241">
        <v>3</v>
      </c>
      <c r="T241">
        <v>2</v>
      </c>
    </row>
    <row r="242" spans="1:20" x14ac:dyDescent="0.25">
      <c r="A242" t="s">
        <v>511</v>
      </c>
      <c r="B242" t="s">
        <v>1292</v>
      </c>
      <c r="C242" t="s">
        <v>1436</v>
      </c>
      <c r="E242" t="s">
        <v>1845</v>
      </c>
      <c r="G242" t="s">
        <v>1056</v>
      </c>
      <c r="H242" s="10" t="s">
        <v>30</v>
      </c>
      <c r="I242">
        <v>11</v>
      </c>
      <c r="K242" t="str">
        <f t="shared" si="3"/>
        <v/>
      </c>
      <c r="L242">
        <v>70</v>
      </c>
      <c r="M242">
        <v>1.2</v>
      </c>
      <c r="N242" t="b">
        <v>1</v>
      </c>
      <c r="P242" s="6">
        <v>0.78</v>
      </c>
      <c r="Q242" t="s">
        <v>1024</v>
      </c>
      <c r="R242" t="s">
        <v>1032</v>
      </c>
      <c r="S242">
        <v>11</v>
      </c>
      <c r="T242">
        <v>4</v>
      </c>
    </row>
    <row r="243" spans="1:20" x14ac:dyDescent="0.25">
      <c r="A243" t="s">
        <v>513</v>
      </c>
      <c r="B243" t="s">
        <v>1437</v>
      </c>
      <c r="C243" t="s">
        <v>1268</v>
      </c>
      <c r="E243" t="s">
        <v>1747</v>
      </c>
      <c r="G243" t="s">
        <v>1048</v>
      </c>
      <c r="H243" s="10" t="s">
        <v>30</v>
      </c>
      <c r="I243">
        <v>1</v>
      </c>
      <c r="J243">
        <v>100</v>
      </c>
      <c r="K243" t="str">
        <f t="shared" si="3"/>
        <v>100</v>
      </c>
      <c r="L243">
        <v>100</v>
      </c>
      <c r="M243">
        <v>4.7</v>
      </c>
      <c r="N243" t="b">
        <v>0</v>
      </c>
      <c r="O243">
        <v>0.67</v>
      </c>
      <c r="P243" s="6">
        <v>0.67</v>
      </c>
      <c r="Q243" t="s">
        <v>1045</v>
      </c>
      <c r="R243" t="s">
        <v>1032</v>
      </c>
      <c r="S243">
        <v>5</v>
      </c>
      <c r="T243">
        <v>1</v>
      </c>
    </row>
    <row r="244" spans="1:20" x14ac:dyDescent="0.25">
      <c r="A244" t="s">
        <v>515</v>
      </c>
      <c r="B244" t="s">
        <v>1232</v>
      </c>
      <c r="C244" t="s">
        <v>1214</v>
      </c>
      <c r="E244" t="s">
        <v>1846</v>
      </c>
      <c r="G244" t="s">
        <v>1068</v>
      </c>
      <c r="H244" s="10" t="s">
        <v>1035</v>
      </c>
      <c r="I244">
        <v>2</v>
      </c>
      <c r="J244">
        <v>20</v>
      </c>
      <c r="K244" t="str">
        <f t="shared" si="3"/>
        <v>20</v>
      </c>
      <c r="L244">
        <v>20</v>
      </c>
      <c r="M244">
        <v>2.4</v>
      </c>
      <c r="N244" t="b">
        <v>0</v>
      </c>
      <c r="O244">
        <v>0.86</v>
      </c>
      <c r="P244" s="6">
        <v>0.86</v>
      </c>
      <c r="Q244" t="s">
        <v>1024</v>
      </c>
      <c r="R244" t="s">
        <v>1025</v>
      </c>
      <c r="S244">
        <v>4</v>
      </c>
      <c r="T244">
        <v>2</v>
      </c>
    </row>
    <row r="245" spans="1:20" x14ac:dyDescent="0.25">
      <c r="A245" t="s">
        <v>517</v>
      </c>
      <c r="B245" t="s">
        <v>1335</v>
      </c>
      <c r="C245" t="s">
        <v>1438</v>
      </c>
      <c r="E245" t="s">
        <v>1847</v>
      </c>
      <c r="G245" t="s">
        <v>1048</v>
      </c>
      <c r="H245" s="10" t="s">
        <v>1031</v>
      </c>
      <c r="I245">
        <v>2</v>
      </c>
      <c r="K245" t="str">
        <f t="shared" si="3"/>
        <v/>
      </c>
      <c r="L245">
        <v>70</v>
      </c>
      <c r="M245">
        <v>1.1000000000000001</v>
      </c>
      <c r="N245" t="b">
        <v>0</v>
      </c>
      <c r="O245">
        <v>0.69</v>
      </c>
      <c r="P245" s="6">
        <v>0.69</v>
      </c>
      <c r="Q245" t="s">
        <v>1046</v>
      </c>
      <c r="R245" t="s">
        <v>1025</v>
      </c>
      <c r="S245">
        <v>3</v>
      </c>
      <c r="T245">
        <v>1</v>
      </c>
    </row>
    <row r="246" spans="1:20" x14ac:dyDescent="0.25">
      <c r="A246" t="s">
        <v>519</v>
      </c>
      <c r="B246" t="s">
        <v>1407</v>
      </c>
      <c r="C246" t="s">
        <v>1430</v>
      </c>
      <c r="E246" t="s">
        <v>1840</v>
      </c>
      <c r="G246" t="s">
        <v>1027</v>
      </c>
      <c r="H246" s="10" t="s">
        <v>1028</v>
      </c>
      <c r="I246">
        <v>10</v>
      </c>
      <c r="J246">
        <v>50</v>
      </c>
      <c r="K246" t="str">
        <f t="shared" si="3"/>
        <v>50</v>
      </c>
      <c r="L246">
        <v>50</v>
      </c>
      <c r="M246">
        <v>1.4</v>
      </c>
      <c r="N246" t="b">
        <v>1</v>
      </c>
      <c r="O246">
        <v>0.85</v>
      </c>
      <c r="P246" s="6">
        <v>0.85</v>
      </c>
      <c r="Q246" t="s">
        <v>1046</v>
      </c>
      <c r="R246" t="s">
        <v>1042</v>
      </c>
      <c r="S246">
        <v>8</v>
      </c>
      <c r="T246">
        <v>4</v>
      </c>
    </row>
    <row r="247" spans="1:20" x14ac:dyDescent="0.25">
      <c r="A247" t="s">
        <v>521</v>
      </c>
      <c r="B247" t="s">
        <v>1398</v>
      </c>
      <c r="C247" t="s">
        <v>1163</v>
      </c>
      <c r="E247" t="s">
        <v>1694</v>
      </c>
      <c r="G247" t="s">
        <v>1027</v>
      </c>
      <c r="H247" s="10" t="s">
        <v>1049</v>
      </c>
      <c r="I247">
        <v>18</v>
      </c>
      <c r="J247">
        <v>40</v>
      </c>
      <c r="K247" t="str">
        <f t="shared" si="3"/>
        <v>40</v>
      </c>
      <c r="L247">
        <v>40</v>
      </c>
      <c r="M247">
        <v>3.4</v>
      </c>
      <c r="N247" t="b">
        <v>0</v>
      </c>
      <c r="O247">
        <v>60</v>
      </c>
      <c r="P247" s="6">
        <v>0.6</v>
      </c>
      <c r="Q247" t="s">
        <v>1024</v>
      </c>
      <c r="R247" t="s">
        <v>1032</v>
      </c>
      <c r="S247">
        <v>11</v>
      </c>
      <c r="T247">
        <v>10</v>
      </c>
    </row>
    <row r="248" spans="1:20" x14ac:dyDescent="0.25">
      <c r="A248" t="s">
        <v>523</v>
      </c>
      <c r="B248" t="s">
        <v>1087</v>
      </c>
      <c r="C248" t="s">
        <v>1190</v>
      </c>
      <c r="E248" t="s">
        <v>1709</v>
      </c>
      <c r="G248" t="s">
        <v>1044</v>
      </c>
      <c r="H248" s="10" t="s">
        <v>1023</v>
      </c>
      <c r="I248">
        <v>4</v>
      </c>
      <c r="J248">
        <v>40</v>
      </c>
      <c r="K248" t="str">
        <f t="shared" si="3"/>
        <v>40</v>
      </c>
      <c r="L248">
        <v>40</v>
      </c>
      <c r="M248">
        <v>2.7</v>
      </c>
      <c r="N248" t="b">
        <v>1</v>
      </c>
      <c r="O248">
        <v>70</v>
      </c>
      <c r="P248" s="6">
        <v>0.7</v>
      </c>
      <c r="Q248" t="s">
        <v>1024</v>
      </c>
      <c r="R248" t="s">
        <v>1032</v>
      </c>
      <c r="S248">
        <v>2</v>
      </c>
      <c r="T248">
        <v>2</v>
      </c>
    </row>
    <row r="249" spans="1:20" x14ac:dyDescent="0.25">
      <c r="A249" t="s">
        <v>525</v>
      </c>
      <c r="B249" t="s">
        <v>1234</v>
      </c>
      <c r="C249" t="s">
        <v>1406</v>
      </c>
      <c r="E249" t="s">
        <v>1826</v>
      </c>
      <c r="G249" t="s">
        <v>1048</v>
      </c>
      <c r="H249" s="10" t="s">
        <v>1033</v>
      </c>
      <c r="I249">
        <v>23</v>
      </c>
      <c r="K249" t="str">
        <f t="shared" si="3"/>
        <v/>
      </c>
      <c r="L249">
        <v>70</v>
      </c>
      <c r="M249">
        <v>4.9000000000000004</v>
      </c>
      <c r="N249" t="b">
        <v>0</v>
      </c>
      <c r="P249" s="6">
        <v>0.78</v>
      </c>
      <c r="Q249" t="s">
        <v>1038</v>
      </c>
      <c r="R249" t="s">
        <v>1025</v>
      </c>
      <c r="S249">
        <v>19</v>
      </c>
      <c r="T249">
        <v>5</v>
      </c>
    </row>
    <row r="250" spans="1:20" x14ac:dyDescent="0.25">
      <c r="A250" t="s">
        <v>527</v>
      </c>
      <c r="B250" t="s">
        <v>1380</v>
      </c>
      <c r="C250" t="s">
        <v>1439</v>
      </c>
      <c r="E250" t="s">
        <v>1848</v>
      </c>
      <c r="G250" t="s">
        <v>1070</v>
      </c>
      <c r="H250" s="10" t="s">
        <v>1041</v>
      </c>
      <c r="I250">
        <v>6</v>
      </c>
      <c r="J250">
        <v>75</v>
      </c>
      <c r="K250" t="str">
        <f t="shared" si="3"/>
        <v>75</v>
      </c>
      <c r="L250">
        <v>75</v>
      </c>
      <c r="M250">
        <v>1.9</v>
      </c>
      <c r="N250" t="b">
        <v>1</v>
      </c>
      <c r="O250">
        <v>0.81</v>
      </c>
      <c r="P250" s="6">
        <v>0.81</v>
      </c>
      <c r="Q250" t="s">
        <v>1046</v>
      </c>
      <c r="R250" t="s">
        <v>1032</v>
      </c>
      <c r="S250">
        <v>9</v>
      </c>
      <c r="T250">
        <v>6</v>
      </c>
    </row>
    <row r="251" spans="1:20" x14ac:dyDescent="0.25">
      <c r="A251" t="s">
        <v>529</v>
      </c>
      <c r="B251" t="s">
        <v>1440</v>
      </c>
      <c r="C251" t="s">
        <v>1132</v>
      </c>
      <c r="E251" t="s">
        <v>1679</v>
      </c>
      <c r="G251" t="s">
        <v>1056</v>
      </c>
      <c r="H251" s="10" t="s">
        <v>1028</v>
      </c>
      <c r="I251">
        <v>5</v>
      </c>
      <c r="J251">
        <v>100</v>
      </c>
      <c r="K251" t="str">
        <f t="shared" si="3"/>
        <v>100</v>
      </c>
      <c r="L251">
        <v>100</v>
      </c>
      <c r="M251">
        <v>2.4</v>
      </c>
      <c r="N251" t="b">
        <v>1</v>
      </c>
      <c r="P251" s="6">
        <v>0.78</v>
      </c>
      <c r="Q251" t="s">
        <v>1046</v>
      </c>
      <c r="R251" t="s">
        <v>1032</v>
      </c>
      <c r="S251">
        <v>4</v>
      </c>
      <c r="T251">
        <v>1</v>
      </c>
    </row>
    <row r="252" spans="1:20" x14ac:dyDescent="0.25">
      <c r="A252" t="s">
        <v>531</v>
      </c>
      <c r="B252" t="s">
        <v>1155</v>
      </c>
      <c r="C252" t="s">
        <v>1441</v>
      </c>
      <c r="E252" t="s">
        <v>1849</v>
      </c>
      <c r="G252" t="s">
        <v>1048</v>
      </c>
      <c r="H252" s="10" t="s">
        <v>1054</v>
      </c>
      <c r="I252">
        <v>19</v>
      </c>
      <c r="J252" t="s">
        <v>34</v>
      </c>
      <c r="K252" t="str">
        <f t="shared" si="3"/>
        <v>USD 75</v>
      </c>
      <c r="L252">
        <v>75</v>
      </c>
      <c r="M252">
        <v>4.5999999999999996</v>
      </c>
      <c r="N252" t="b">
        <v>0</v>
      </c>
      <c r="O252">
        <v>0.78</v>
      </c>
      <c r="P252" s="6">
        <v>0.78</v>
      </c>
      <c r="Q252" t="s">
        <v>1024</v>
      </c>
      <c r="R252" t="s">
        <v>1032</v>
      </c>
      <c r="S252">
        <v>18</v>
      </c>
      <c r="T252">
        <v>13</v>
      </c>
    </row>
    <row r="253" spans="1:20" x14ac:dyDescent="0.25">
      <c r="A253" t="s">
        <v>533</v>
      </c>
      <c r="B253" t="s">
        <v>1442</v>
      </c>
      <c r="C253" t="s">
        <v>1443</v>
      </c>
      <c r="E253" t="s">
        <v>1850</v>
      </c>
      <c r="G253" t="s">
        <v>1030</v>
      </c>
      <c r="H253" s="10" t="s">
        <v>1049</v>
      </c>
      <c r="I253">
        <v>6</v>
      </c>
      <c r="J253">
        <v>50</v>
      </c>
      <c r="K253" t="str">
        <f t="shared" si="3"/>
        <v>50</v>
      </c>
      <c r="L253">
        <v>50</v>
      </c>
      <c r="M253">
        <v>0</v>
      </c>
      <c r="N253" t="b">
        <v>0</v>
      </c>
      <c r="O253">
        <v>81</v>
      </c>
      <c r="P253" s="6">
        <v>0.81</v>
      </c>
      <c r="Q253" t="s">
        <v>1045</v>
      </c>
      <c r="R253" t="s">
        <v>1025</v>
      </c>
      <c r="S253">
        <v>8</v>
      </c>
      <c r="T253">
        <v>13</v>
      </c>
    </row>
    <row r="254" spans="1:20" x14ac:dyDescent="0.25">
      <c r="A254" t="s">
        <v>535</v>
      </c>
      <c r="B254" t="s">
        <v>1403</v>
      </c>
      <c r="C254" t="s">
        <v>1444</v>
      </c>
      <c r="E254" t="s">
        <v>1851</v>
      </c>
      <c r="G254" t="s">
        <v>1030</v>
      </c>
      <c r="H254" s="10" t="s">
        <v>1041</v>
      </c>
      <c r="I254">
        <v>8</v>
      </c>
      <c r="J254">
        <v>75</v>
      </c>
      <c r="K254" t="str">
        <f t="shared" si="3"/>
        <v>75</v>
      </c>
      <c r="L254">
        <v>75</v>
      </c>
      <c r="M254">
        <v>1.8</v>
      </c>
      <c r="N254" t="b">
        <v>1</v>
      </c>
      <c r="O254">
        <v>0.71</v>
      </c>
      <c r="P254" s="6">
        <v>0.71</v>
      </c>
      <c r="Q254" t="s">
        <v>1046</v>
      </c>
      <c r="R254" t="s">
        <v>1042</v>
      </c>
      <c r="S254">
        <v>8</v>
      </c>
      <c r="T254">
        <v>9</v>
      </c>
    </row>
    <row r="255" spans="1:20" x14ac:dyDescent="0.25">
      <c r="A255" t="s">
        <v>537</v>
      </c>
      <c r="B255" t="s">
        <v>1353</v>
      </c>
      <c r="C255" t="s">
        <v>1293</v>
      </c>
      <c r="E255" t="s">
        <v>1762</v>
      </c>
      <c r="G255" t="s">
        <v>1048</v>
      </c>
      <c r="H255" s="10" t="s">
        <v>1028</v>
      </c>
      <c r="I255">
        <v>3</v>
      </c>
      <c r="J255">
        <v>75</v>
      </c>
      <c r="K255" t="str">
        <f t="shared" si="3"/>
        <v>75</v>
      </c>
      <c r="L255">
        <v>75</v>
      </c>
      <c r="M255">
        <v>2</v>
      </c>
      <c r="N255" t="b">
        <v>0</v>
      </c>
      <c r="P255" s="6">
        <v>0.78</v>
      </c>
      <c r="Q255" t="s">
        <v>1045</v>
      </c>
      <c r="R255" t="s">
        <v>1029</v>
      </c>
      <c r="S255">
        <v>2</v>
      </c>
      <c r="T255">
        <v>1</v>
      </c>
    </row>
    <row r="256" spans="1:20" x14ac:dyDescent="0.25">
      <c r="A256" t="s">
        <v>539</v>
      </c>
      <c r="B256" t="s">
        <v>1356</v>
      </c>
      <c r="C256" t="s">
        <v>1445</v>
      </c>
      <c r="E256" t="s">
        <v>1852</v>
      </c>
      <c r="G256" t="s">
        <v>1068</v>
      </c>
      <c r="H256" s="10" t="s">
        <v>1049</v>
      </c>
      <c r="I256">
        <v>8</v>
      </c>
      <c r="J256">
        <v>30</v>
      </c>
      <c r="K256" t="str">
        <f t="shared" si="3"/>
        <v>30</v>
      </c>
      <c r="L256">
        <v>30</v>
      </c>
      <c r="M256">
        <v>5</v>
      </c>
      <c r="N256" t="b">
        <v>1</v>
      </c>
      <c r="O256">
        <v>0.99</v>
      </c>
      <c r="P256" s="6">
        <v>0.99</v>
      </c>
      <c r="Q256" t="s">
        <v>1024</v>
      </c>
      <c r="R256" t="s">
        <v>1042</v>
      </c>
      <c r="S256">
        <v>6</v>
      </c>
      <c r="T256">
        <v>9</v>
      </c>
    </row>
    <row r="257" spans="1:20" x14ac:dyDescent="0.25">
      <c r="A257" t="s">
        <v>541</v>
      </c>
      <c r="B257" t="s">
        <v>1270</v>
      </c>
      <c r="C257" t="s">
        <v>1446</v>
      </c>
      <c r="E257" t="s">
        <v>1853</v>
      </c>
      <c r="G257" t="s">
        <v>1059</v>
      </c>
      <c r="H257" s="10" t="s">
        <v>1041</v>
      </c>
      <c r="I257">
        <v>12</v>
      </c>
      <c r="J257" t="s">
        <v>82</v>
      </c>
      <c r="K257" t="str">
        <f t="shared" si="3"/>
        <v>$20</v>
      </c>
      <c r="L257">
        <v>20</v>
      </c>
      <c r="M257">
        <v>3.2</v>
      </c>
      <c r="N257" t="b">
        <v>1</v>
      </c>
      <c r="O257">
        <v>0.66</v>
      </c>
      <c r="P257" s="6">
        <v>0.66</v>
      </c>
      <c r="Q257" t="s">
        <v>1024</v>
      </c>
      <c r="R257" t="s">
        <v>1029</v>
      </c>
      <c r="S257">
        <v>15</v>
      </c>
      <c r="T257">
        <v>6</v>
      </c>
    </row>
    <row r="258" spans="1:20" x14ac:dyDescent="0.25">
      <c r="A258" t="s">
        <v>543</v>
      </c>
      <c r="B258" t="s">
        <v>1239</v>
      </c>
      <c r="C258" t="s">
        <v>1447</v>
      </c>
      <c r="E258" t="s">
        <v>1854</v>
      </c>
      <c r="G258" t="s">
        <v>1027</v>
      </c>
      <c r="H258" s="10" t="s">
        <v>1023</v>
      </c>
      <c r="I258">
        <v>30</v>
      </c>
      <c r="J258" t="s">
        <v>31</v>
      </c>
      <c r="K258" t="str">
        <f t="shared" ref="K258:K321" si="4">TRIM(J258)</f>
        <v>$30</v>
      </c>
      <c r="L258">
        <v>30</v>
      </c>
      <c r="M258">
        <v>2.4</v>
      </c>
      <c r="N258" t="b">
        <v>0</v>
      </c>
      <c r="O258">
        <v>0.8</v>
      </c>
      <c r="P258" s="6">
        <v>0.8</v>
      </c>
      <c r="Q258" t="s">
        <v>1038</v>
      </c>
      <c r="R258" t="s">
        <v>1032</v>
      </c>
      <c r="S258">
        <v>13</v>
      </c>
      <c r="T258">
        <v>8</v>
      </c>
    </row>
    <row r="259" spans="1:20" x14ac:dyDescent="0.25">
      <c r="A259" t="s">
        <v>545</v>
      </c>
      <c r="B259" t="s">
        <v>1448</v>
      </c>
      <c r="C259" t="s">
        <v>1449</v>
      </c>
      <c r="E259" t="s">
        <v>1855</v>
      </c>
      <c r="G259" t="s">
        <v>1027</v>
      </c>
      <c r="H259" s="10" t="s">
        <v>1033</v>
      </c>
      <c r="I259">
        <v>21</v>
      </c>
      <c r="J259">
        <v>100</v>
      </c>
      <c r="K259" t="str">
        <f t="shared" si="4"/>
        <v>100</v>
      </c>
      <c r="L259">
        <v>100</v>
      </c>
      <c r="M259">
        <v>2.9</v>
      </c>
      <c r="N259" t="b">
        <v>0</v>
      </c>
      <c r="O259">
        <v>0.83</v>
      </c>
      <c r="P259" s="6">
        <v>0.83</v>
      </c>
      <c r="Q259" t="s">
        <v>1046</v>
      </c>
      <c r="R259" t="s">
        <v>1042</v>
      </c>
      <c r="S259">
        <v>17</v>
      </c>
      <c r="T259">
        <v>1</v>
      </c>
    </row>
    <row r="260" spans="1:20" x14ac:dyDescent="0.25">
      <c r="A260" t="s">
        <v>547</v>
      </c>
      <c r="B260" t="s">
        <v>1320</v>
      </c>
      <c r="C260" t="s">
        <v>1439</v>
      </c>
      <c r="E260" t="s">
        <v>1848</v>
      </c>
      <c r="G260" t="s">
        <v>1058</v>
      </c>
      <c r="H260" s="10" t="s">
        <v>1049</v>
      </c>
      <c r="I260">
        <v>17</v>
      </c>
      <c r="J260" t="s">
        <v>262</v>
      </c>
      <c r="K260" t="str">
        <f t="shared" si="4"/>
        <v>USD 20</v>
      </c>
      <c r="L260">
        <v>20</v>
      </c>
      <c r="M260">
        <v>0</v>
      </c>
      <c r="N260" t="b">
        <v>1</v>
      </c>
      <c r="O260">
        <v>87</v>
      </c>
      <c r="P260" s="6">
        <v>0.87</v>
      </c>
      <c r="Q260" t="s">
        <v>1045</v>
      </c>
      <c r="R260" t="s">
        <v>1029</v>
      </c>
      <c r="S260">
        <v>16</v>
      </c>
      <c r="T260">
        <v>7</v>
      </c>
    </row>
    <row r="261" spans="1:20" x14ac:dyDescent="0.25">
      <c r="A261" t="s">
        <v>549</v>
      </c>
      <c r="B261" t="s">
        <v>1189</v>
      </c>
      <c r="C261" t="s">
        <v>1450</v>
      </c>
      <c r="E261" t="s">
        <v>1856</v>
      </c>
      <c r="G261" t="s">
        <v>1044</v>
      </c>
      <c r="H261" s="10" t="s">
        <v>1041</v>
      </c>
      <c r="I261">
        <v>9</v>
      </c>
      <c r="J261">
        <v>30</v>
      </c>
      <c r="K261" t="str">
        <f t="shared" si="4"/>
        <v>30</v>
      </c>
      <c r="L261">
        <v>30</v>
      </c>
      <c r="M261">
        <v>3</v>
      </c>
      <c r="N261" t="b">
        <v>0</v>
      </c>
      <c r="O261">
        <v>76</v>
      </c>
      <c r="P261" s="6">
        <v>0.76</v>
      </c>
      <c r="Q261" t="s">
        <v>1038</v>
      </c>
      <c r="R261" t="s">
        <v>1025</v>
      </c>
      <c r="S261">
        <v>15</v>
      </c>
      <c r="T261">
        <v>3</v>
      </c>
    </row>
    <row r="262" spans="1:20" x14ac:dyDescent="0.25">
      <c r="A262" t="s">
        <v>551</v>
      </c>
      <c r="B262" t="s">
        <v>1451</v>
      </c>
      <c r="C262" t="s">
        <v>1094</v>
      </c>
      <c r="E262" t="s">
        <v>1660</v>
      </c>
      <c r="G262" t="s">
        <v>1048</v>
      </c>
      <c r="H262" s="10" t="s">
        <v>1049</v>
      </c>
      <c r="I262">
        <v>2</v>
      </c>
      <c r="J262">
        <v>50</v>
      </c>
      <c r="K262" t="str">
        <f t="shared" si="4"/>
        <v>50</v>
      </c>
      <c r="L262">
        <v>50</v>
      </c>
      <c r="M262">
        <v>1.6</v>
      </c>
      <c r="N262" t="s">
        <v>111</v>
      </c>
      <c r="O262">
        <v>0.89</v>
      </c>
      <c r="P262" s="6">
        <v>0.89</v>
      </c>
      <c r="Q262" t="s">
        <v>1046</v>
      </c>
      <c r="R262" t="s">
        <v>1025</v>
      </c>
      <c r="S262">
        <v>3</v>
      </c>
      <c r="T262">
        <v>1</v>
      </c>
    </row>
    <row r="263" spans="1:20" x14ac:dyDescent="0.25">
      <c r="A263" t="s">
        <v>553</v>
      </c>
      <c r="B263" t="s">
        <v>1133</v>
      </c>
      <c r="C263" t="s">
        <v>1452</v>
      </c>
      <c r="E263" t="s">
        <v>1857</v>
      </c>
      <c r="G263" t="s">
        <v>1064</v>
      </c>
      <c r="H263" s="10" t="s">
        <v>1031</v>
      </c>
      <c r="I263">
        <v>1</v>
      </c>
      <c r="J263">
        <v>20</v>
      </c>
      <c r="K263" t="str">
        <f t="shared" si="4"/>
        <v>20</v>
      </c>
      <c r="L263">
        <v>20</v>
      </c>
      <c r="M263">
        <v>3.6</v>
      </c>
      <c r="N263" t="b">
        <v>1</v>
      </c>
      <c r="O263">
        <v>0.94</v>
      </c>
      <c r="P263" s="6">
        <v>0.94</v>
      </c>
      <c r="Q263" t="s">
        <v>1038</v>
      </c>
      <c r="R263" t="s">
        <v>1042</v>
      </c>
      <c r="S263">
        <v>3</v>
      </c>
      <c r="T263">
        <v>1</v>
      </c>
    </row>
    <row r="264" spans="1:20" x14ac:dyDescent="0.25">
      <c r="A264" t="s">
        <v>555</v>
      </c>
      <c r="B264" t="s">
        <v>1403</v>
      </c>
      <c r="C264" t="s">
        <v>1365</v>
      </c>
      <c r="E264" t="s">
        <v>1802</v>
      </c>
      <c r="G264" t="s">
        <v>1022</v>
      </c>
      <c r="H264" s="10" t="s">
        <v>1033</v>
      </c>
      <c r="I264">
        <v>23</v>
      </c>
      <c r="K264" t="str">
        <f t="shared" si="4"/>
        <v/>
      </c>
      <c r="L264">
        <v>70</v>
      </c>
      <c r="M264">
        <v>2.1</v>
      </c>
      <c r="N264" t="b">
        <v>0</v>
      </c>
      <c r="O264">
        <v>0.68</v>
      </c>
      <c r="P264" s="6">
        <v>0.68</v>
      </c>
      <c r="Q264" t="s">
        <v>1024</v>
      </c>
      <c r="R264" t="s">
        <v>1042</v>
      </c>
      <c r="S264">
        <v>14</v>
      </c>
      <c r="T264">
        <v>7</v>
      </c>
    </row>
    <row r="265" spans="1:20" x14ac:dyDescent="0.25">
      <c r="A265" t="s">
        <v>557</v>
      </c>
      <c r="B265" t="s">
        <v>1453</v>
      </c>
      <c r="C265" t="s">
        <v>1288</v>
      </c>
      <c r="E265" t="s">
        <v>1811</v>
      </c>
      <c r="G265" t="s">
        <v>1030</v>
      </c>
      <c r="H265" s="10" t="s">
        <v>1054</v>
      </c>
      <c r="I265">
        <v>8</v>
      </c>
      <c r="J265">
        <v>30</v>
      </c>
      <c r="K265" t="str">
        <f t="shared" si="4"/>
        <v>30</v>
      </c>
      <c r="L265">
        <v>30</v>
      </c>
      <c r="M265">
        <v>3.6</v>
      </c>
      <c r="N265" t="b">
        <v>1</v>
      </c>
      <c r="O265">
        <v>0.96</v>
      </c>
      <c r="P265" s="6">
        <v>0.96</v>
      </c>
      <c r="Q265" t="s">
        <v>1046</v>
      </c>
      <c r="R265" t="s">
        <v>1032</v>
      </c>
      <c r="S265">
        <v>9</v>
      </c>
      <c r="T265">
        <v>7</v>
      </c>
    </row>
    <row r="266" spans="1:20" x14ac:dyDescent="0.25">
      <c r="A266" t="s">
        <v>559</v>
      </c>
      <c r="B266" t="s">
        <v>1418</v>
      </c>
      <c r="C266" t="s">
        <v>1454</v>
      </c>
      <c r="E266" t="s">
        <v>1858</v>
      </c>
      <c r="G266" t="s">
        <v>1027</v>
      </c>
      <c r="H266" s="10" t="s">
        <v>1041</v>
      </c>
      <c r="I266">
        <v>6</v>
      </c>
      <c r="J266" t="s">
        <v>82</v>
      </c>
      <c r="K266" t="str">
        <f t="shared" si="4"/>
        <v>$20</v>
      </c>
      <c r="L266">
        <v>20</v>
      </c>
      <c r="M266">
        <v>2.7</v>
      </c>
      <c r="N266" t="b">
        <v>1</v>
      </c>
      <c r="O266">
        <v>0.91</v>
      </c>
      <c r="P266" s="6">
        <v>0.91</v>
      </c>
      <c r="Q266" t="s">
        <v>1038</v>
      </c>
      <c r="R266" t="s">
        <v>1042</v>
      </c>
      <c r="S266">
        <v>6</v>
      </c>
      <c r="T266">
        <v>4</v>
      </c>
    </row>
    <row r="267" spans="1:20" x14ac:dyDescent="0.25">
      <c r="A267" t="s">
        <v>561</v>
      </c>
      <c r="B267" t="s">
        <v>1382</v>
      </c>
      <c r="C267" t="s">
        <v>1226</v>
      </c>
      <c r="E267" t="s">
        <v>1727</v>
      </c>
      <c r="G267" t="s">
        <v>1056</v>
      </c>
      <c r="H267" s="10" t="s">
        <v>1023</v>
      </c>
      <c r="I267">
        <v>1</v>
      </c>
      <c r="J267">
        <v>100</v>
      </c>
      <c r="K267" t="str">
        <f t="shared" si="4"/>
        <v>100</v>
      </c>
      <c r="L267">
        <v>100</v>
      </c>
      <c r="M267">
        <v>2.1</v>
      </c>
      <c r="N267" t="b">
        <v>1</v>
      </c>
      <c r="O267">
        <v>0.92</v>
      </c>
      <c r="P267" s="6">
        <v>0.92</v>
      </c>
      <c r="Q267" t="s">
        <v>1038</v>
      </c>
      <c r="R267" t="s">
        <v>1032</v>
      </c>
      <c r="S267">
        <v>5</v>
      </c>
      <c r="T267">
        <v>4</v>
      </c>
    </row>
    <row r="268" spans="1:20" x14ac:dyDescent="0.25">
      <c r="A268" t="s">
        <v>563</v>
      </c>
      <c r="B268" t="s">
        <v>1455</v>
      </c>
      <c r="C268" t="s">
        <v>1456</v>
      </c>
      <c r="E268" t="s">
        <v>1859</v>
      </c>
      <c r="G268" t="s">
        <v>1059</v>
      </c>
      <c r="H268" s="10" t="s">
        <v>1033</v>
      </c>
      <c r="I268">
        <v>19</v>
      </c>
      <c r="J268" t="s">
        <v>26</v>
      </c>
      <c r="K268" t="str">
        <f t="shared" si="4"/>
        <v>$40</v>
      </c>
      <c r="L268">
        <v>40</v>
      </c>
      <c r="M268">
        <v>4.9000000000000004</v>
      </c>
      <c r="N268" t="b">
        <v>0</v>
      </c>
      <c r="O268">
        <v>0.82</v>
      </c>
      <c r="P268" s="6">
        <v>0.82</v>
      </c>
      <c r="Q268" t="s">
        <v>1045</v>
      </c>
      <c r="R268" t="s">
        <v>1032</v>
      </c>
      <c r="S268">
        <v>15</v>
      </c>
      <c r="T268">
        <v>15</v>
      </c>
    </row>
    <row r="269" spans="1:20" x14ac:dyDescent="0.25">
      <c r="A269" t="s">
        <v>565</v>
      </c>
      <c r="B269" t="s">
        <v>1178</v>
      </c>
      <c r="C269" t="s">
        <v>1158</v>
      </c>
      <c r="E269" t="s">
        <v>1691</v>
      </c>
      <c r="G269" t="s">
        <v>1048</v>
      </c>
      <c r="H269" s="10" t="s">
        <v>30</v>
      </c>
      <c r="I269">
        <v>2</v>
      </c>
      <c r="J269">
        <v>30</v>
      </c>
      <c r="K269" t="str">
        <f t="shared" si="4"/>
        <v>30</v>
      </c>
      <c r="L269">
        <v>30</v>
      </c>
      <c r="M269">
        <v>2.1</v>
      </c>
      <c r="N269" t="b">
        <v>0</v>
      </c>
      <c r="P269" s="6">
        <v>0.78</v>
      </c>
      <c r="Q269" t="s">
        <v>1038</v>
      </c>
      <c r="R269" t="s">
        <v>1025</v>
      </c>
      <c r="S269">
        <v>2</v>
      </c>
      <c r="T269">
        <v>2</v>
      </c>
    </row>
    <row r="270" spans="1:20" x14ac:dyDescent="0.25">
      <c r="A270" t="s">
        <v>567</v>
      </c>
      <c r="B270" t="s">
        <v>1192</v>
      </c>
      <c r="C270" t="s">
        <v>1457</v>
      </c>
      <c r="E270" t="s">
        <v>1860</v>
      </c>
      <c r="G270" t="s">
        <v>1053</v>
      </c>
      <c r="H270" s="10" t="s">
        <v>1033</v>
      </c>
      <c r="I270">
        <v>21</v>
      </c>
      <c r="J270">
        <v>100</v>
      </c>
      <c r="K270" t="str">
        <f t="shared" si="4"/>
        <v>100</v>
      </c>
      <c r="L270">
        <v>100</v>
      </c>
      <c r="M270">
        <v>0</v>
      </c>
      <c r="N270" t="s">
        <v>111</v>
      </c>
      <c r="O270">
        <v>0.91</v>
      </c>
      <c r="P270" s="6">
        <v>0.91</v>
      </c>
      <c r="Q270" t="s">
        <v>1046</v>
      </c>
      <c r="R270" t="s">
        <v>1025</v>
      </c>
      <c r="S270">
        <v>17</v>
      </c>
      <c r="T270">
        <v>13</v>
      </c>
    </row>
    <row r="271" spans="1:20" x14ac:dyDescent="0.25">
      <c r="A271" t="s">
        <v>569</v>
      </c>
      <c r="B271" t="s">
        <v>1458</v>
      </c>
      <c r="C271" t="s">
        <v>1459</v>
      </c>
      <c r="E271" t="s">
        <v>1861</v>
      </c>
      <c r="G271" t="s">
        <v>1053</v>
      </c>
      <c r="H271" s="10" t="s">
        <v>1035</v>
      </c>
      <c r="I271">
        <v>3</v>
      </c>
      <c r="J271" t="s">
        <v>44</v>
      </c>
      <c r="K271" t="str">
        <f t="shared" si="4"/>
        <v>$50</v>
      </c>
      <c r="L271">
        <v>50</v>
      </c>
      <c r="M271">
        <v>2.8</v>
      </c>
      <c r="N271" t="b">
        <v>1</v>
      </c>
      <c r="O271">
        <v>86</v>
      </c>
      <c r="P271" s="6">
        <v>0.86</v>
      </c>
      <c r="Q271" t="s">
        <v>1046</v>
      </c>
      <c r="R271" t="s">
        <v>1029</v>
      </c>
      <c r="S271">
        <v>3</v>
      </c>
      <c r="T271">
        <v>2</v>
      </c>
    </row>
    <row r="272" spans="1:20" x14ac:dyDescent="0.25">
      <c r="A272" t="s">
        <v>571</v>
      </c>
      <c r="B272" t="s">
        <v>1131</v>
      </c>
      <c r="C272" t="s">
        <v>1221</v>
      </c>
      <c r="E272" t="s">
        <v>1724</v>
      </c>
      <c r="G272" t="s">
        <v>1068</v>
      </c>
      <c r="H272" s="10" t="s">
        <v>1028</v>
      </c>
      <c r="I272">
        <v>14</v>
      </c>
      <c r="K272" t="str">
        <f t="shared" si="4"/>
        <v/>
      </c>
      <c r="L272">
        <v>70</v>
      </c>
      <c r="M272">
        <v>2.4</v>
      </c>
      <c r="N272" t="b">
        <v>0</v>
      </c>
      <c r="O272">
        <v>0.69</v>
      </c>
      <c r="P272" s="6">
        <v>0.69</v>
      </c>
      <c r="Q272" t="s">
        <v>1045</v>
      </c>
      <c r="R272" t="s">
        <v>1025</v>
      </c>
      <c r="S272">
        <v>12</v>
      </c>
      <c r="T272">
        <v>13</v>
      </c>
    </row>
    <row r="273" spans="1:20" x14ac:dyDescent="0.25">
      <c r="A273" t="s">
        <v>573</v>
      </c>
      <c r="B273" t="s">
        <v>1418</v>
      </c>
      <c r="C273" t="s">
        <v>1460</v>
      </c>
      <c r="E273" t="s">
        <v>1862</v>
      </c>
      <c r="G273" t="s">
        <v>1068</v>
      </c>
      <c r="H273" s="10" t="s">
        <v>1049</v>
      </c>
      <c r="I273">
        <v>10</v>
      </c>
      <c r="J273" t="s">
        <v>21</v>
      </c>
      <c r="K273" t="str">
        <f t="shared" si="4"/>
        <v>USD 100</v>
      </c>
      <c r="L273">
        <v>100</v>
      </c>
      <c r="M273">
        <v>4.7</v>
      </c>
      <c r="N273" t="b">
        <v>1</v>
      </c>
      <c r="O273">
        <v>0.84</v>
      </c>
      <c r="P273" s="6">
        <v>0.84</v>
      </c>
      <c r="Q273" t="s">
        <v>1046</v>
      </c>
      <c r="R273" t="s">
        <v>1025</v>
      </c>
      <c r="S273">
        <v>7</v>
      </c>
      <c r="T273">
        <v>13</v>
      </c>
    </row>
    <row r="274" spans="1:20" x14ac:dyDescent="0.25">
      <c r="A274" t="s">
        <v>575</v>
      </c>
      <c r="B274" t="s">
        <v>1461</v>
      </c>
      <c r="C274" t="s">
        <v>1462</v>
      </c>
      <c r="E274" t="s">
        <v>1863</v>
      </c>
      <c r="G274" t="s">
        <v>1027</v>
      </c>
      <c r="H274" s="10" t="s">
        <v>1050</v>
      </c>
      <c r="I274">
        <v>5</v>
      </c>
      <c r="J274">
        <v>100</v>
      </c>
      <c r="K274" t="str">
        <f t="shared" si="4"/>
        <v>100</v>
      </c>
      <c r="L274">
        <v>100</v>
      </c>
      <c r="M274">
        <v>1.3</v>
      </c>
      <c r="N274" t="b">
        <v>0</v>
      </c>
      <c r="O274">
        <v>0.6</v>
      </c>
      <c r="P274" s="6">
        <v>0.6</v>
      </c>
      <c r="Q274" t="s">
        <v>1024</v>
      </c>
      <c r="R274" t="s">
        <v>1042</v>
      </c>
      <c r="S274">
        <v>5</v>
      </c>
      <c r="T274">
        <v>2</v>
      </c>
    </row>
    <row r="275" spans="1:20" x14ac:dyDescent="0.25">
      <c r="A275" t="s">
        <v>577</v>
      </c>
      <c r="B275" t="s">
        <v>1463</v>
      </c>
      <c r="C275" t="s">
        <v>1091</v>
      </c>
      <c r="D275" t="s">
        <v>1335</v>
      </c>
      <c r="E275" t="s">
        <v>1864</v>
      </c>
      <c r="G275" t="s">
        <v>1037</v>
      </c>
      <c r="H275" s="10" t="s">
        <v>1023</v>
      </c>
      <c r="I275">
        <v>6</v>
      </c>
      <c r="J275" t="s">
        <v>34</v>
      </c>
      <c r="K275" t="str">
        <f t="shared" si="4"/>
        <v>USD 75</v>
      </c>
      <c r="L275">
        <v>75</v>
      </c>
      <c r="M275">
        <v>1.6</v>
      </c>
      <c r="N275" t="b">
        <v>1</v>
      </c>
      <c r="O275">
        <v>0.97</v>
      </c>
      <c r="P275" s="6">
        <v>0.97</v>
      </c>
      <c r="Q275" t="s">
        <v>1046</v>
      </c>
      <c r="R275" t="s">
        <v>1025</v>
      </c>
      <c r="S275">
        <v>13</v>
      </c>
      <c r="T275">
        <v>6</v>
      </c>
    </row>
    <row r="276" spans="1:20" x14ac:dyDescent="0.25">
      <c r="A276" t="s">
        <v>579</v>
      </c>
      <c r="B276" t="s">
        <v>1356</v>
      </c>
      <c r="C276" t="s">
        <v>1464</v>
      </c>
      <c r="E276" t="s">
        <v>1865</v>
      </c>
      <c r="G276" t="s">
        <v>1064</v>
      </c>
      <c r="H276" s="10" t="s">
        <v>1033</v>
      </c>
      <c r="I276">
        <v>21</v>
      </c>
      <c r="J276">
        <v>100</v>
      </c>
      <c r="K276" t="str">
        <f t="shared" si="4"/>
        <v>100</v>
      </c>
      <c r="L276">
        <v>100</v>
      </c>
      <c r="M276">
        <v>0</v>
      </c>
      <c r="N276" t="b">
        <v>0</v>
      </c>
      <c r="O276">
        <v>0.7</v>
      </c>
      <c r="P276" s="6">
        <v>0.7</v>
      </c>
      <c r="Q276" t="s">
        <v>1046</v>
      </c>
      <c r="R276" t="s">
        <v>1029</v>
      </c>
      <c r="S276">
        <v>17</v>
      </c>
      <c r="T276">
        <v>7</v>
      </c>
    </row>
    <row r="277" spans="1:20" x14ac:dyDescent="0.25">
      <c r="A277" t="s">
        <v>581</v>
      </c>
      <c r="B277" t="s">
        <v>1465</v>
      </c>
      <c r="C277" t="s">
        <v>1466</v>
      </c>
      <c r="E277" t="s">
        <v>1866</v>
      </c>
      <c r="G277" t="s">
        <v>1070</v>
      </c>
      <c r="H277" s="10" t="s">
        <v>1049</v>
      </c>
      <c r="I277">
        <v>4</v>
      </c>
      <c r="J277" t="s">
        <v>21</v>
      </c>
      <c r="K277" t="str">
        <f t="shared" si="4"/>
        <v>USD 100</v>
      </c>
      <c r="L277">
        <v>100</v>
      </c>
      <c r="M277">
        <v>3.6</v>
      </c>
      <c r="N277" t="s">
        <v>111</v>
      </c>
      <c r="O277">
        <v>0.81</v>
      </c>
      <c r="P277" s="6">
        <v>0.81</v>
      </c>
      <c r="Q277" t="s">
        <v>1038</v>
      </c>
      <c r="R277" t="s">
        <v>1042</v>
      </c>
      <c r="S277">
        <v>5</v>
      </c>
      <c r="T277">
        <v>2</v>
      </c>
    </row>
    <row r="278" spans="1:20" x14ac:dyDescent="0.25">
      <c r="A278" t="s">
        <v>583</v>
      </c>
      <c r="B278" t="s">
        <v>1413</v>
      </c>
      <c r="C278" t="s">
        <v>1329</v>
      </c>
      <c r="E278" t="s">
        <v>1781</v>
      </c>
      <c r="G278" t="s">
        <v>1061</v>
      </c>
      <c r="H278" s="10" t="s">
        <v>1035</v>
      </c>
      <c r="I278">
        <v>18</v>
      </c>
      <c r="J278">
        <v>20</v>
      </c>
      <c r="K278" t="str">
        <f t="shared" si="4"/>
        <v>20</v>
      </c>
      <c r="L278">
        <v>20</v>
      </c>
      <c r="M278">
        <v>4.7</v>
      </c>
      <c r="N278" t="b">
        <v>1</v>
      </c>
      <c r="O278">
        <v>0.88</v>
      </c>
      <c r="P278" s="6">
        <v>0.88</v>
      </c>
      <c r="Q278" t="s">
        <v>1038</v>
      </c>
      <c r="R278" t="s">
        <v>1029</v>
      </c>
      <c r="S278">
        <v>15</v>
      </c>
      <c r="T278">
        <v>10</v>
      </c>
    </row>
    <row r="279" spans="1:20" x14ac:dyDescent="0.25">
      <c r="A279" t="s">
        <v>585</v>
      </c>
      <c r="B279" t="s">
        <v>1440</v>
      </c>
      <c r="C279" t="s">
        <v>1467</v>
      </c>
      <c r="E279" t="s">
        <v>1867</v>
      </c>
      <c r="G279" t="s">
        <v>1068</v>
      </c>
      <c r="H279" s="10" t="s">
        <v>1049</v>
      </c>
      <c r="I279">
        <v>12</v>
      </c>
      <c r="J279" t="s">
        <v>26</v>
      </c>
      <c r="K279" t="str">
        <f t="shared" si="4"/>
        <v>$40</v>
      </c>
      <c r="L279">
        <v>40</v>
      </c>
      <c r="M279">
        <v>2.4</v>
      </c>
      <c r="N279" t="b">
        <v>1</v>
      </c>
      <c r="O279">
        <v>1</v>
      </c>
      <c r="P279" s="6">
        <v>1</v>
      </c>
      <c r="Q279" t="s">
        <v>1046</v>
      </c>
      <c r="R279" t="s">
        <v>1025</v>
      </c>
      <c r="S279">
        <v>15</v>
      </c>
      <c r="T279">
        <v>13</v>
      </c>
    </row>
    <row r="280" spans="1:20" x14ac:dyDescent="0.25">
      <c r="A280" t="s">
        <v>587</v>
      </c>
      <c r="B280" t="s">
        <v>1353</v>
      </c>
      <c r="C280" t="s">
        <v>1468</v>
      </c>
      <c r="D280" t="s">
        <v>1097</v>
      </c>
      <c r="E280" t="s">
        <v>1868</v>
      </c>
      <c r="G280" t="s">
        <v>1044</v>
      </c>
      <c r="H280" s="10" t="s">
        <v>1041</v>
      </c>
      <c r="I280">
        <v>6</v>
      </c>
      <c r="K280" t="str">
        <f t="shared" si="4"/>
        <v/>
      </c>
      <c r="L280">
        <v>70</v>
      </c>
      <c r="M280">
        <v>3.2</v>
      </c>
      <c r="N280" t="b">
        <v>0</v>
      </c>
      <c r="O280">
        <v>95</v>
      </c>
      <c r="P280" s="6">
        <v>0.95</v>
      </c>
      <c r="Q280" t="s">
        <v>1045</v>
      </c>
      <c r="R280" t="s">
        <v>1029</v>
      </c>
      <c r="S280">
        <v>10</v>
      </c>
      <c r="T280">
        <v>5</v>
      </c>
    </row>
    <row r="281" spans="1:20" x14ac:dyDescent="0.25">
      <c r="A281" t="s">
        <v>588</v>
      </c>
      <c r="B281" t="s">
        <v>1469</v>
      </c>
      <c r="C281" t="s">
        <v>1470</v>
      </c>
      <c r="E281" t="s">
        <v>1869</v>
      </c>
      <c r="G281" t="s">
        <v>1027</v>
      </c>
      <c r="H281" s="10" t="s">
        <v>1023</v>
      </c>
      <c r="I281">
        <v>4</v>
      </c>
      <c r="J281" t="s">
        <v>262</v>
      </c>
      <c r="K281" t="str">
        <f t="shared" si="4"/>
        <v>USD 20</v>
      </c>
      <c r="L281">
        <v>20</v>
      </c>
      <c r="M281">
        <v>2.4</v>
      </c>
      <c r="N281" t="b">
        <v>0</v>
      </c>
      <c r="O281">
        <v>0.71</v>
      </c>
      <c r="P281" s="6">
        <v>0.71</v>
      </c>
      <c r="Q281" t="s">
        <v>1038</v>
      </c>
      <c r="R281" t="s">
        <v>1042</v>
      </c>
      <c r="S281">
        <v>3</v>
      </c>
      <c r="T281">
        <v>5</v>
      </c>
    </row>
    <row r="282" spans="1:20" x14ac:dyDescent="0.25">
      <c r="A282" t="s">
        <v>590</v>
      </c>
      <c r="B282" t="s">
        <v>1256</v>
      </c>
      <c r="C282" t="s">
        <v>1471</v>
      </c>
      <c r="E282" t="s">
        <v>1870</v>
      </c>
      <c r="G282" t="s">
        <v>1040</v>
      </c>
      <c r="H282" s="10" t="s">
        <v>1049</v>
      </c>
      <c r="I282">
        <v>13</v>
      </c>
      <c r="J282" t="s">
        <v>82</v>
      </c>
      <c r="K282" t="str">
        <f t="shared" si="4"/>
        <v>$20</v>
      </c>
      <c r="L282">
        <v>20</v>
      </c>
      <c r="M282">
        <v>4.7</v>
      </c>
      <c r="N282" t="b">
        <v>0</v>
      </c>
      <c r="O282">
        <v>0.85</v>
      </c>
      <c r="P282" s="6">
        <v>0.85</v>
      </c>
      <c r="Q282" t="s">
        <v>1045</v>
      </c>
      <c r="R282" t="s">
        <v>1032</v>
      </c>
      <c r="S282">
        <v>9</v>
      </c>
      <c r="T282">
        <v>3</v>
      </c>
    </row>
    <row r="283" spans="1:20" x14ac:dyDescent="0.25">
      <c r="A283" t="s">
        <v>592</v>
      </c>
      <c r="B283" t="s">
        <v>1207</v>
      </c>
      <c r="C283" t="s">
        <v>1141</v>
      </c>
      <c r="E283" t="s">
        <v>1683</v>
      </c>
      <c r="G283" t="s">
        <v>1056</v>
      </c>
      <c r="H283" s="10" t="s">
        <v>1028</v>
      </c>
      <c r="I283">
        <v>6</v>
      </c>
      <c r="J283">
        <v>30</v>
      </c>
      <c r="K283" t="str">
        <f t="shared" si="4"/>
        <v>30</v>
      </c>
      <c r="L283">
        <v>30</v>
      </c>
      <c r="M283">
        <v>2.4</v>
      </c>
      <c r="N283" t="b">
        <v>0</v>
      </c>
      <c r="O283">
        <v>0.96</v>
      </c>
      <c r="P283" s="6">
        <v>0.96</v>
      </c>
      <c r="Q283" t="s">
        <v>1046</v>
      </c>
      <c r="R283" t="s">
        <v>1029</v>
      </c>
      <c r="S283">
        <v>11</v>
      </c>
      <c r="T283">
        <v>7</v>
      </c>
    </row>
    <row r="284" spans="1:20" x14ac:dyDescent="0.25">
      <c r="A284" t="s">
        <v>594</v>
      </c>
      <c r="B284" t="s">
        <v>1472</v>
      </c>
      <c r="C284" t="s">
        <v>1148</v>
      </c>
      <c r="D284" t="s">
        <v>1473</v>
      </c>
      <c r="E284" t="s">
        <v>1871</v>
      </c>
      <c r="G284" t="s">
        <v>1037</v>
      </c>
      <c r="H284" s="10" t="s">
        <v>1031</v>
      </c>
      <c r="I284">
        <v>10</v>
      </c>
      <c r="J284" t="s">
        <v>262</v>
      </c>
      <c r="K284" t="str">
        <f t="shared" si="4"/>
        <v>USD 20</v>
      </c>
      <c r="L284">
        <v>20</v>
      </c>
      <c r="M284">
        <v>2.4</v>
      </c>
      <c r="N284" t="b">
        <v>1</v>
      </c>
      <c r="O284">
        <v>0.92</v>
      </c>
      <c r="P284" s="6">
        <v>0.92</v>
      </c>
      <c r="Q284" t="s">
        <v>1046</v>
      </c>
      <c r="R284" t="s">
        <v>1029</v>
      </c>
      <c r="S284">
        <v>11</v>
      </c>
      <c r="T284">
        <v>6</v>
      </c>
    </row>
    <row r="285" spans="1:20" x14ac:dyDescent="0.25">
      <c r="A285" t="s">
        <v>596</v>
      </c>
      <c r="B285" t="s">
        <v>1474</v>
      </c>
      <c r="C285" t="s">
        <v>1475</v>
      </c>
      <c r="E285" t="s">
        <v>1872</v>
      </c>
      <c r="G285" t="s">
        <v>1059</v>
      </c>
      <c r="H285" s="10" t="s">
        <v>1050</v>
      </c>
      <c r="I285">
        <v>20</v>
      </c>
      <c r="J285">
        <v>50</v>
      </c>
      <c r="K285" t="str">
        <f t="shared" si="4"/>
        <v>50</v>
      </c>
      <c r="L285">
        <v>50</v>
      </c>
      <c r="M285">
        <v>2.4</v>
      </c>
      <c r="N285" t="b">
        <v>0</v>
      </c>
      <c r="O285">
        <v>0.79</v>
      </c>
      <c r="P285" s="6">
        <v>0.79</v>
      </c>
      <c r="Q285" t="s">
        <v>1024</v>
      </c>
      <c r="R285" t="s">
        <v>1042</v>
      </c>
      <c r="S285">
        <v>14</v>
      </c>
      <c r="T285">
        <v>10</v>
      </c>
    </row>
    <row r="286" spans="1:20" x14ac:dyDescent="0.25">
      <c r="A286" t="s">
        <v>598</v>
      </c>
      <c r="B286" t="s">
        <v>1476</v>
      </c>
      <c r="C286" t="s">
        <v>1477</v>
      </c>
      <c r="E286" t="s">
        <v>1873</v>
      </c>
      <c r="G286" t="s">
        <v>1053</v>
      </c>
      <c r="H286" s="10" t="s">
        <v>1033</v>
      </c>
      <c r="I286">
        <v>20</v>
      </c>
      <c r="J286">
        <v>75</v>
      </c>
      <c r="K286" t="str">
        <f t="shared" si="4"/>
        <v>75</v>
      </c>
      <c r="L286">
        <v>75</v>
      </c>
      <c r="M286">
        <v>2.9</v>
      </c>
      <c r="N286" t="b">
        <v>0</v>
      </c>
      <c r="P286" s="6">
        <v>0.78</v>
      </c>
      <c r="Q286" t="s">
        <v>1038</v>
      </c>
      <c r="R286" t="s">
        <v>1042</v>
      </c>
      <c r="S286">
        <v>12</v>
      </c>
      <c r="T286">
        <v>11</v>
      </c>
    </row>
    <row r="287" spans="1:20" x14ac:dyDescent="0.25">
      <c r="A287" t="s">
        <v>600</v>
      </c>
      <c r="B287" t="s">
        <v>1478</v>
      </c>
      <c r="C287" t="s">
        <v>1318</v>
      </c>
      <c r="E287" t="s">
        <v>1775</v>
      </c>
      <c r="G287" t="s">
        <v>1068</v>
      </c>
      <c r="H287" s="10" t="s">
        <v>1050</v>
      </c>
      <c r="I287">
        <v>11</v>
      </c>
      <c r="J287">
        <v>50</v>
      </c>
      <c r="K287" t="str">
        <f t="shared" si="4"/>
        <v>50</v>
      </c>
      <c r="L287">
        <v>50</v>
      </c>
      <c r="M287">
        <v>0</v>
      </c>
      <c r="N287" t="b">
        <v>0</v>
      </c>
      <c r="P287" s="6">
        <v>0.78</v>
      </c>
      <c r="Q287" t="s">
        <v>1046</v>
      </c>
      <c r="R287" t="s">
        <v>1029</v>
      </c>
      <c r="S287">
        <v>8</v>
      </c>
      <c r="T287">
        <v>5</v>
      </c>
    </row>
    <row r="288" spans="1:20" x14ac:dyDescent="0.25">
      <c r="A288" t="s">
        <v>602</v>
      </c>
      <c r="B288" t="s">
        <v>1479</v>
      </c>
      <c r="C288" t="s">
        <v>1480</v>
      </c>
      <c r="E288" t="s">
        <v>1874</v>
      </c>
      <c r="G288" t="s">
        <v>1059</v>
      </c>
      <c r="H288" s="10" t="s">
        <v>1035</v>
      </c>
      <c r="I288">
        <v>12</v>
      </c>
      <c r="J288">
        <v>20</v>
      </c>
      <c r="K288" t="str">
        <f t="shared" si="4"/>
        <v>20</v>
      </c>
      <c r="L288">
        <v>20</v>
      </c>
      <c r="M288">
        <v>0</v>
      </c>
      <c r="N288" t="b">
        <v>0</v>
      </c>
      <c r="O288">
        <v>0.89</v>
      </c>
      <c r="P288" s="6">
        <v>0.89</v>
      </c>
      <c r="Q288" t="s">
        <v>1024</v>
      </c>
      <c r="R288" t="s">
        <v>1025</v>
      </c>
      <c r="S288">
        <v>10</v>
      </c>
      <c r="T288">
        <v>4</v>
      </c>
    </row>
    <row r="289" spans="1:20" x14ac:dyDescent="0.25">
      <c r="A289" t="s">
        <v>604</v>
      </c>
      <c r="B289" t="s">
        <v>1290</v>
      </c>
      <c r="C289" t="s">
        <v>1481</v>
      </c>
      <c r="E289" t="s">
        <v>1875</v>
      </c>
      <c r="G289" t="s">
        <v>1048</v>
      </c>
      <c r="H289" s="10" t="s">
        <v>1035</v>
      </c>
      <c r="I289">
        <v>1</v>
      </c>
      <c r="J289">
        <v>100</v>
      </c>
      <c r="K289" t="str">
        <f t="shared" si="4"/>
        <v>100</v>
      </c>
      <c r="L289">
        <v>100</v>
      </c>
      <c r="M289">
        <v>1.5</v>
      </c>
      <c r="N289" t="b">
        <v>1</v>
      </c>
      <c r="O289">
        <v>1</v>
      </c>
      <c r="P289" s="6">
        <v>1</v>
      </c>
      <c r="Q289" t="s">
        <v>1038</v>
      </c>
      <c r="R289" t="s">
        <v>1029</v>
      </c>
      <c r="S289">
        <v>4</v>
      </c>
      <c r="T289">
        <v>4</v>
      </c>
    </row>
    <row r="290" spans="1:20" x14ac:dyDescent="0.25">
      <c r="A290" t="s">
        <v>606</v>
      </c>
      <c r="B290" t="s">
        <v>1482</v>
      </c>
      <c r="C290" t="s">
        <v>1483</v>
      </c>
      <c r="E290" t="s">
        <v>1876</v>
      </c>
      <c r="G290" t="s">
        <v>1056</v>
      </c>
      <c r="H290" s="10" t="s">
        <v>1035</v>
      </c>
      <c r="I290">
        <v>2</v>
      </c>
      <c r="J290">
        <v>30</v>
      </c>
      <c r="K290" t="str">
        <f t="shared" si="4"/>
        <v>30</v>
      </c>
      <c r="L290">
        <v>30</v>
      </c>
      <c r="M290">
        <v>1.9</v>
      </c>
      <c r="N290" t="b">
        <v>1</v>
      </c>
      <c r="O290">
        <v>0.81</v>
      </c>
      <c r="P290" s="6">
        <v>0.81</v>
      </c>
      <c r="Q290" t="s">
        <v>1046</v>
      </c>
      <c r="R290" t="s">
        <v>1042</v>
      </c>
      <c r="S290">
        <v>1</v>
      </c>
      <c r="T290">
        <v>1</v>
      </c>
    </row>
    <row r="291" spans="1:20" x14ac:dyDescent="0.25">
      <c r="A291" t="s">
        <v>608</v>
      </c>
      <c r="B291" t="s">
        <v>1125</v>
      </c>
      <c r="C291" t="s">
        <v>1484</v>
      </c>
      <c r="E291" t="s">
        <v>1877</v>
      </c>
      <c r="G291" t="s">
        <v>1027</v>
      </c>
      <c r="H291" s="10" t="s">
        <v>1023</v>
      </c>
      <c r="I291">
        <v>13</v>
      </c>
      <c r="J291">
        <v>100</v>
      </c>
      <c r="K291" t="str">
        <f t="shared" si="4"/>
        <v>100</v>
      </c>
      <c r="L291">
        <v>100</v>
      </c>
      <c r="M291">
        <v>3.1</v>
      </c>
      <c r="N291" t="b">
        <v>1</v>
      </c>
      <c r="O291">
        <v>95</v>
      </c>
      <c r="P291" s="6">
        <v>0.95</v>
      </c>
      <c r="Q291" t="s">
        <v>1046</v>
      </c>
      <c r="R291" t="s">
        <v>1032</v>
      </c>
      <c r="S291">
        <v>10</v>
      </c>
      <c r="T291">
        <v>3</v>
      </c>
    </row>
    <row r="292" spans="1:20" x14ac:dyDescent="0.25">
      <c r="A292" t="s">
        <v>610</v>
      </c>
      <c r="B292" t="s">
        <v>1365</v>
      </c>
      <c r="C292" t="s">
        <v>1485</v>
      </c>
      <c r="E292" t="s">
        <v>1878</v>
      </c>
      <c r="G292" t="s">
        <v>1040</v>
      </c>
      <c r="H292" s="10" t="s">
        <v>1049</v>
      </c>
      <c r="I292">
        <v>0</v>
      </c>
      <c r="K292" t="str">
        <f t="shared" si="4"/>
        <v/>
      </c>
      <c r="L292">
        <v>70</v>
      </c>
      <c r="M292">
        <v>1.8</v>
      </c>
      <c r="N292" t="b">
        <v>0</v>
      </c>
      <c r="O292">
        <v>0.88</v>
      </c>
      <c r="P292" s="6">
        <v>0.88</v>
      </c>
      <c r="Q292" t="s">
        <v>1038</v>
      </c>
      <c r="R292" t="s">
        <v>1032</v>
      </c>
      <c r="S292">
        <v>3</v>
      </c>
      <c r="T292">
        <v>2</v>
      </c>
    </row>
    <row r="293" spans="1:20" x14ac:dyDescent="0.25">
      <c r="A293" t="s">
        <v>612</v>
      </c>
      <c r="B293" t="s">
        <v>1486</v>
      </c>
      <c r="C293" t="s">
        <v>1487</v>
      </c>
      <c r="E293" t="s">
        <v>1879</v>
      </c>
      <c r="G293" t="s">
        <v>1053</v>
      </c>
      <c r="H293" s="10" t="s">
        <v>1033</v>
      </c>
      <c r="I293">
        <v>7</v>
      </c>
      <c r="J293">
        <v>30</v>
      </c>
      <c r="K293" t="str">
        <f t="shared" si="4"/>
        <v>30</v>
      </c>
      <c r="L293">
        <v>30</v>
      </c>
      <c r="M293">
        <v>2.4</v>
      </c>
      <c r="N293" t="b">
        <v>1</v>
      </c>
      <c r="O293">
        <v>0.66</v>
      </c>
      <c r="P293" s="6">
        <v>0.66</v>
      </c>
      <c r="Q293" t="s">
        <v>1038</v>
      </c>
      <c r="R293" t="s">
        <v>1025</v>
      </c>
      <c r="S293">
        <v>12</v>
      </c>
      <c r="T293">
        <v>8</v>
      </c>
    </row>
    <row r="294" spans="1:20" x14ac:dyDescent="0.25">
      <c r="A294" t="s">
        <v>614</v>
      </c>
      <c r="B294" t="s">
        <v>1198</v>
      </c>
      <c r="C294" t="s">
        <v>1488</v>
      </c>
      <c r="E294" t="s">
        <v>1880</v>
      </c>
      <c r="G294" t="s">
        <v>1056</v>
      </c>
      <c r="H294" s="10" t="s">
        <v>1023</v>
      </c>
      <c r="I294">
        <v>13</v>
      </c>
      <c r="J294">
        <v>100</v>
      </c>
      <c r="K294" t="str">
        <f t="shared" si="4"/>
        <v>100</v>
      </c>
      <c r="L294">
        <v>100</v>
      </c>
      <c r="M294">
        <v>4.2</v>
      </c>
      <c r="N294" t="b">
        <v>1</v>
      </c>
      <c r="O294">
        <v>0.84</v>
      </c>
      <c r="P294" s="6">
        <v>0.84</v>
      </c>
      <c r="Q294" t="s">
        <v>1038</v>
      </c>
      <c r="R294" t="s">
        <v>1029</v>
      </c>
      <c r="S294">
        <v>7</v>
      </c>
      <c r="T294">
        <v>4</v>
      </c>
    </row>
    <row r="295" spans="1:20" x14ac:dyDescent="0.25">
      <c r="A295" t="s">
        <v>616</v>
      </c>
      <c r="B295" t="s">
        <v>1489</v>
      </c>
      <c r="C295" t="s">
        <v>1490</v>
      </c>
      <c r="E295" t="s">
        <v>1881</v>
      </c>
      <c r="G295" t="s">
        <v>1048</v>
      </c>
      <c r="H295" s="10" t="s">
        <v>1033</v>
      </c>
      <c r="I295">
        <v>21</v>
      </c>
      <c r="J295" t="s">
        <v>44</v>
      </c>
      <c r="K295" t="str">
        <f t="shared" si="4"/>
        <v>$50</v>
      </c>
      <c r="L295">
        <v>50</v>
      </c>
      <c r="M295">
        <v>1.4</v>
      </c>
      <c r="N295" t="b">
        <v>0</v>
      </c>
      <c r="P295" s="6">
        <v>0.78</v>
      </c>
      <c r="Q295" t="s">
        <v>1046</v>
      </c>
      <c r="R295" t="s">
        <v>1032</v>
      </c>
      <c r="S295">
        <v>20</v>
      </c>
      <c r="T295">
        <v>7</v>
      </c>
    </row>
    <row r="296" spans="1:20" x14ac:dyDescent="0.25">
      <c r="A296" t="s">
        <v>618</v>
      </c>
      <c r="B296" t="s">
        <v>1491</v>
      </c>
      <c r="C296" t="s">
        <v>1334</v>
      </c>
      <c r="E296" t="s">
        <v>1784</v>
      </c>
      <c r="G296" t="s">
        <v>1027</v>
      </c>
      <c r="H296" s="10" t="s">
        <v>1033</v>
      </c>
      <c r="I296">
        <v>19</v>
      </c>
      <c r="J296">
        <v>40</v>
      </c>
      <c r="K296" t="str">
        <f t="shared" si="4"/>
        <v>40</v>
      </c>
      <c r="L296">
        <v>40</v>
      </c>
      <c r="M296">
        <v>1.2</v>
      </c>
      <c r="N296" t="b">
        <v>1</v>
      </c>
      <c r="O296">
        <v>0.82</v>
      </c>
      <c r="P296" s="6">
        <v>0.82</v>
      </c>
      <c r="Q296" t="s">
        <v>1046</v>
      </c>
      <c r="R296" t="s">
        <v>1029</v>
      </c>
      <c r="S296">
        <v>11</v>
      </c>
      <c r="T296">
        <v>3</v>
      </c>
    </row>
    <row r="297" spans="1:20" x14ac:dyDescent="0.25">
      <c r="A297" t="s">
        <v>620</v>
      </c>
      <c r="B297" t="s">
        <v>1155</v>
      </c>
      <c r="C297" t="s">
        <v>1224</v>
      </c>
      <c r="E297" t="s">
        <v>1726</v>
      </c>
      <c r="G297" t="s">
        <v>1027</v>
      </c>
      <c r="H297" s="10" t="s">
        <v>1054</v>
      </c>
      <c r="I297">
        <v>34</v>
      </c>
      <c r="K297" t="str">
        <f t="shared" si="4"/>
        <v/>
      </c>
      <c r="L297">
        <v>70</v>
      </c>
      <c r="M297">
        <v>2.1</v>
      </c>
      <c r="N297" t="b">
        <v>1</v>
      </c>
      <c r="O297">
        <v>0.84</v>
      </c>
      <c r="P297" s="6">
        <v>0.84</v>
      </c>
      <c r="Q297" t="s">
        <v>1024</v>
      </c>
      <c r="R297" t="s">
        <v>1042</v>
      </c>
      <c r="S297">
        <v>17</v>
      </c>
      <c r="T297">
        <v>11</v>
      </c>
    </row>
    <row r="298" spans="1:20" x14ac:dyDescent="0.25">
      <c r="A298" t="s">
        <v>622</v>
      </c>
      <c r="B298" t="s">
        <v>1189</v>
      </c>
      <c r="C298" t="s">
        <v>1211</v>
      </c>
      <c r="E298" t="s">
        <v>1719</v>
      </c>
      <c r="G298" t="s">
        <v>1068</v>
      </c>
      <c r="H298" s="10" t="s">
        <v>1041</v>
      </c>
      <c r="I298">
        <v>3</v>
      </c>
      <c r="J298">
        <v>100</v>
      </c>
      <c r="K298" t="str">
        <f t="shared" si="4"/>
        <v>100</v>
      </c>
      <c r="L298">
        <v>100</v>
      </c>
      <c r="M298">
        <v>1.4</v>
      </c>
      <c r="N298" t="b">
        <v>0</v>
      </c>
      <c r="O298">
        <v>0.73</v>
      </c>
      <c r="P298" s="6">
        <v>0.73</v>
      </c>
      <c r="Q298" t="s">
        <v>1045</v>
      </c>
      <c r="R298" t="s">
        <v>1032</v>
      </c>
      <c r="S298">
        <v>3</v>
      </c>
      <c r="T298">
        <v>5</v>
      </c>
    </row>
    <row r="299" spans="1:20" x14ac:dyDescent="0.25">
      <c r="A299" t="s">
        <v>624</v>
      </c>
      <c r="B299" t="s">
        <v>1474</v>
      </c>
      <c r="C299" t="s">
        <v>1203</v>
      </c>
      <c r="E299" t="s">
        <v>1715</v>
      </c>
      <c r="G299" t="s">
        <v>1059</v>
      </c>
      <c r="H299" s="10" t="s">
        <v>1028</v>
      </c>
      <c r="I299">
        <v>0</v>
      </c>
      <c r="J299">
        <v>30</v>
      </c>
      <c r="K299" t="str">
        <f t="shared" si="4"/>
        <v>30</v>
      </c>
      <c r="L299">
        <v>30</v>
      </c>
      <c r="M299">
        <v>3.8</v>
      </c>
      <c r="N299" t="b">
        <v>0</v>
      </c>
      <c r="O299">
        <v>0.93</v>
      </c>
      <c r="P299" s="6">
        <v>0.93</v>
      </c>
      <c r="Q299" t="s">
        <v>1038</v>
      </c>
      <c r="R299" t="s">
        <v>1025</v>
      </c>
      <c r="S299">
        <v>5</v>
      </c>
      <c r="T299">
        <v>2</v>
      </c>
    </row>
    <row r="300" spans="1:20" x14ac:dyDescent="0.25">
      <c r="A300" t="s">
        <v>626</v>
      </c>
      <c r="B300" t="s">
        <v>1461</v>
      </c>
      <c r="C300" t="s">
        <v>1492</v>
      </c>
      <c r="E300" t="s">
        <v>1882</v>
      </c>
      <c r="G300" t="s">
        <v>1027</v>
      </c>
      <c r="H300" s="10" t="s">
        <v>1035</v>
      </c>
      <c r="I300">
        <v>20</v>
      </c>
      <c r="J300">
        <v>50</v>
      </c>
      <c r="K300" t="str">
        <f t="shared" si="4"/>
        <v>50</v>
      </c>
      <c r="L300">
        <v>50</v>
      </c>
      <c r="M300">
        <v>0</v>
      </c>
      <c r="N300" t="b">
        <v>0</v>
      </c>
      <c r="O300">
        <v>0.64</v>
      </c>
      <c r="P300" s="6">
        <v>0.64</v>
      </c>
      <c r="Q300" t="s">
        <v>1046</v>
      </c>
      <c r="R300" t="s">
        <v>1042</v>
      </c>
      <c r="S300">
        <v>10</v>
      </c>
      <c r="T300">
        <v>2</v>
      </c>
    </row>
    <row r="301" spans="1:20" x14ac:dyDescent="0.25">
      <c r="A301" t="s">
        <v>628</v>
      </c>
      <c r="B301" t="s">
        <v>1493</v>
      </c>
      <c r="C301" t="s">
        <v>1494</v>
      </c>
      <c r="E301" t="s">
        <v>1883</v>
      </c>
      <c r="G301" t="s">
        <v>1037</v>
      </c>
      <c r="H301" s="10" t="s">
        <v>1028</v>
      </c>
      <c r="I301">
        <v>6</v>
      </c>
      <c r="J301">
        <v>40</v>
      </c>
      <c r="K301" t="str">
        <f t="shared" si="4"/>
        <v>40</v>
      </c>
      <c r="L301">
        <v>40</v>
      </c>
      <c r="M301">
        <v>3.5</v>
      </c>
      <c r="N301" t="b">
        <v>0</v>
      </c>
      <c r="O301">
        <v>0.76</v>
      </c>
      <c r="P301" s="6">
        <v>0.76</v>
      </c>
      <c r="Q301" t="s">
        <v>1046</v>
      </c>
      <c r="R301" t="s">
        <v>1025</v>
      </c>
      <c r="S301">
        <v>15</v>
      </c>
      <c r="T301">
        <v>6</v>
      </c>
    </row>
    <row r="302" spans="1:20" x14ac:dyDescent="0.25">
      <c r="A302" t="s">
        <v>630</v>
      </c>
      <c r="B302" t="s">
        <v>1495</v>
      </c>
      <c r="C302" t="s">
        <v>1161</v>
      </c>
      <c r="E302" t="s">
        <v>1693</v>
      </c>
      <c r="G302" t="s">
        <v>1056</v>
      </c>
      <c r="H302" s="10" t="s">
        <v>1035</v>
      </c>
      <c r="I302">
        <v>13</v>
      </c>
      <c r="J302" t="s">
        <v>177</v>
      </c>
      <c r="K302" t="str">
        <f t="shared" si="4"/>
        <v>$100</v>
      </c>
      <c r="L302">
        <v>100</v>
      </c>
      <c r="M302">
        <v>0</v>
      </c>
      <c r="N302" t="b">
        <v>1</v>
      </c>
      <c r="O302">
        <v>0.97</v>
      </c>
      <c r="P302" s="6">
        <v>0.97</v>
      </c>
      <c r="Q302" t="s">
        <v>1038</v>
      </c>
      <c r="R302" t="s">
        <v>1042</v>
      </c>
      <c r="S302">
        <v>9</v>
      </c>
      <c r="T302">
        <v>12</v>
      </c>
    </row>
    <row r="303" spans="1:20" x14ac:dyDescent="0.25">
      <c r="A303" t="s">
        <v>632</v>
      </c>
      <c r="B303" t="s">
        <v>1214</v>
      </c>
      <c r="C303" t="s">
        <v>1496</v>
      </c>
      <c r="E303" t="s">
        <v>1884</v>
      </c>
      <c r="G303" t="s">
        <v>1068</v>
      </c>
      <c r="H303" s="10" t="s">
        <v>1041</v>
      </c>
      <c r="I303">
        <v>9</v>
      </c>
      <c r="J303">
        <v>75</v>
      </c>
      <c r="K303" t="str">
        <f t="shared" si="4"/>
        <v>75</v>
      </c>
      <c r="L303">
        <v>75</v>
      </c>
      <c r="M303">
        <v>2.2000000000000002</v>
      </c>
      <c r="N303" t="b">
        <v>0</v>
      </c>
      <c r="O303">
        <v>0.95</v>
      </c>
      <c r="P303" s="6">
        <v>0.95</v>
      </c>
      <c r="Q303" t="s">
        <v>1045</v>
      </c>
      <c r="R303" t="s">
        <v>1032</v>
      </c>
      <c r="S303">
        <v>11</v>
      </c>
      <c r="T303">
        <v>1</v>
      </c>
    </row>
    <row r="304" spans="1:20" x14ac:dyDescent="0.25">
      <c r="A304" t="s">
        <v>634</v>
      </c>
      <c r="B304" t="s">
        <v>1497</v>
      </c>
      <c r="C304" t="s">
        <v>1168</v>
      </c>
      <c r="D304" t="s">
        <v>1498</v>
      </c>
      <c r="E304" t="s">
        <v>1885</v>
      </c>
      <c r="G304" t="s">
        <v>1061</v>
      </c>
      <c r="H304" s="10" t="s">
        <v>1033</v>
      </c>
      <c r="I304">
        <v>2</v>
      </c>
      <c r="J304">
        <v>75</v>
      </c>
      <c r="K304" t="str">
        <f t="shared" si="4"/>
        <v>75</v>
      </c>
      <c r="L304">
        <v>75</v>
      </c>
      <c r="M304">
        <v>2.4</v>
      </c>
      <c r="N304" t="b">
        <v>0</v>
      </c>
      <c r="O304">
        <v>0.65</v>
      </c>
      <c r="P304" s="6">
        <v>0.65</v>
      </c>
      <c r="Q304" t="s">
        <v>1038</v>
      </c>
      <c r="R304" t="s">
        <v>1025</v>
      </c>
      <c r="S304">
        <v>4</v>
      </c>
      <c r="T304">
        <v>1</v>
      </c>
    </row>
    <row r="305" spans="1:20" x14ac:dyDescent="0.25">
      <c r="A305" t="s">
        <v>635</v>
      </c>
      <c r="B305" t="s">
        <v>1499</v>
      </c>
      <c r="C305" t="s">
        <v>1500</v>
      </c>
      <c r="E305" t="s">
        <v>1886</v>
      </c>
      <c r="G305" t="s">
        <v>1027</v>
      </c>
      <c r="H305" s="10" t="s">
        <v>1031</v>
      </c>
      <c r="I305">
        <v>0</v>
      </c>
      <c r="J305" t="s">
        <v>64</v>
      </c>
      <c r="K305" t="str">
        <f t="shared" si="4"/>
        <v>USD 50</v>
      </c>
      <c r="L305">
        <v>50</v>
      </c>
      <c r="M305">
        <v>4.7</v>
      </c>
      <c r="N305" t="b">
        <v>0</v>
      </c>
      <c r="O305">
        <v>0.77</v>
      </c>
      <c r="P305" s="6">
        <v>0.77</v>
      </c>
      <c r="Q305" t="s">
        <v>1045</v>
      </c>
      <c r="R305" t="s">
        <v>1025</v>
      </c>
      <c r="S305">
        <v>3</v>
      </c>
      <c r="T305">
        <v>2</v>
      </c>
    </row>
    <row r="306" spans="1:20" x14ac:dyDescent="0.25">
      <c r="A306" t="s">
        <v>637</v>
      </c>
      <c r="B306" t="s">
        <v>1297</v>
      </c>
      <c r="C306" t="s">
        <v>1501</v>
      </c>
      <c r="E306" t="s">
        <v>1887</v>
      </c>
      <c r="G306" t="s">
        <v>1066</v>
      </c>
      <c r="H306" s="10" t="s">
        <v>1041</v>
      </c>
      <c r="I306">
        <v>0</v>
      </c>
      <c r="J306">
        <v>20</v>
      </c>
      <c r="K306" t="str">
        <f t="shared" si="4"/>
        <v>20</v>
      </c>
      <c r="L306">
        <v>20</v>
      </c>
      <c r="M306">
        <v>3.9</v>
      </c>
      <c r="N306" t="b">
        <v>0</v>
      </c>
      <c r="P306" s="6">
        <v>0.78</v>
      </c>
      <c r="Q306" t="s">
        <v>1046</v>
      </c>
      <c r="R306" t="s">
        <v>1042</v>
      </c>
      <c r="S306">
        <v>1</v>
      </c>
      <c r="T306">
        <v>1</v>
      </c>
    </row>
    <row r="307" spans="1:20" x14ac:dyDescent="0.25">
      <c r="A307" t="s">
        <v>639</v>
      </c>
      <c r="B307" t="s">
        <v>1204</v>
      </c>
      <c r="C307" t="s">
        <v>1355</v>
      </c>
      <c r="E307" t="s">
        <v>1796</v>
      </c>
      <c r="G307" t="s">
        <v>1070</v>
      </c>
      <c r="H307" s="10" t="s">
        <v>1041</v>
      </c>
      <c r="I307">
        <v>2</v>
      </c>
      <c r="J307">
        <v>75</v>
      </c>
      <c r="K307" t="str">
        <f t="shared" si="4"/>
        <v>75</v>
      </c>
      <c r="L307">
        <v>75</v>
      </c>
      <c r="M307">
        <v>1.6</v>
      </c>
      <c r="N307" t="b">
        <v>0</v>
      </c>
      <c r="O307">
        <v>0.67</v>
      </c>
      <c r="P307" s="6">
        <v>0.67</v>
      </c>
      <c r="Q307" t="s">
        <v>1045</v>
      </c>
      <c r="R307" t="s">
        <v>1025</v>
      </c>
      <c r="S307">
        <v>5</v>
      </c>
      <c r="T307">
        <v>2</v>
      </c>
    </row>
    <row r="308" spans="1:20" x14ac:dyDescent="0.25">
      <c r="A308" t="s">
        <v>641</v>
      </c>
      <c r="B308" t="s">
        <v>1147</v>
      </c>
      <c r="C308" t="s">
        <v>1502</v>
      </c>
      <c r="E308" t="s">
        <v>1888</v>
      </c>
      <c r="G308" t="s">
        <v>1064</v>
      </c>
      <c r="H308" s="10" t="s">
        <v>1050</v>
      </c>
      <c r="I308">
        <v>2</v>
      </c>
      <c r="J308" t="s">
        <v>44</v>
      </c>
      <c r="K308" t="str">
        <f t="shared" si="4"/>
        <v>$50</v>
      </c>
      <c r="L308">
        <v>50</v>
      </c>
      <c r="M308">
        <v>2.4</v>
      </c>
      <c r="N308" t="b">
        <v>0</v>
      </c>
      <c r="O308">
        <v>0.84</v>
      </c>
      <c r="P308" s="6">
        <v>0.84</v>
      </c>
      <c r="Q308" t="s">
        <v>1024</v>
      </c>
      <c r="R308" t="s">
        <v>1042</v>
      </c>
      <c r="S308">
        <v>2</v>
      </c>
      <c r="T308">
        <v>3</v>
      </c>
    </row>
    <row r="309" spans="1:20" x14ac:dyDescent="0.25">
      <c r="A309" t="s">
        <v>643</v>
      </c>
      <c r="B309" t="s">
        <v>1256</v>
      </c>
      <c r="C309" t="s">
        <v>1274</v>
      </c>
      <c r="E309" t="s">
        <v>1752</v>
      </c>
      <c r="G309" t="s">
        <v>1059</v>
      </c>
      <c r="H309" s="10" t="s">
        <v>1028</v>
      </c>
      <c r="I309">
        <v>1</v>
      </c>
      <c r="J309">
        <v>30</v>
      </c>
      <c r="K309" t="str">
        <f t="shared" si="4"/>
        <v>30</v>
      </c>
      <c r="L309">
        <v>30</v>
      </c>
      <c r="M309">
        <v>3.6</v>
      </c>
      <c r="N309" t="b">
        <v>1</v>
      </c>
      <c r="O309">
        <v>0.87</v>
      </c>
      <c r="P309" s="6">
        <v>0.87</v>
      </c>
      <c r="Q309" t="s">
        <v>1046</v>
      </c>
      <c r="R309" t="s">
        <v>1042</v>
      </c>
      <c r="S309">
        <v>2</v>
      </c>
      <c r="T309">
        <v>2</v>
      </c>
    </row>
    <row r="310" spans="1:20" x14ac:dyDescent="0.25">
      <c r="A310" t="s">
        <v>645</v>
      </c>
      <c r="B310" t="s">
        <v>1338</v>
      </c>
      <c r="C310" t="s">
        <v>1286</v>
      </c>
      <c r="E310" t="s">
        <v>1759</v>
      </c>
      <c r="G310" t="s">
        <v>1058</v>
      </c>
      <c r="H310" s="10" t="s">
        <v>1035</v>
      </c>
      <c r="I310">
        <v>14</v>
      </c>
      <c r="J310" t="s">
        <v>73</v>
      </c>
      <c r="K310" t="str">
        <f t="shared" si="4"/>
        <v>USD 30</v>
      </c>
      <c r="L310">
        <v>30</v>
      </c>
      <c r="M310">
        <v>1.2</v>
      </c>
      <c r="N310" t="b">
        <v>1</v>
      </c>
      <c r="O310">
        <v>0.91</v>
      </c>
      <c r="P310" s="6">
        <v>0.91</v>
      </c>
      <c r="Q310" t="s">
        <v>1024</v>
      </c>
      <c r="R310" t="s">
        <v>1042</v>
      </c>
      <c r="S310">
        <v>7</v>
      </c>
      <c r="T310">
        <v>6</v>
      </c>
    </row>
    <row r="311" spans="1:20" x14ac:dyDescent="0.25">
      <c r="A311" t="s">
        <v>647</v>
      </c>
      <c r="B311" t="s">
        <v>1169</v>
      </c>
      <c r="C311" t="s">
        <v>1503</v>
      </c>
      <c r="D311" t="s">
        <v>1175</v>
      </c>
      <c r="E311" t="s">
        <v>1889</v>
      </c>
      <c r="G311" t="s">
        <v>1068</v>
      </c>
      <c r="H311" s="10" t="s">
        <v>1035</v>
      </c>
      <c r="I311">
        <v>14</v>
      </c>
      <c r="J311" t="s">
        <v>34</v>
      </c>
      <c r="K311" t="str">
        <f t="shared" si="4"/>
        <v>USD 75</v>
      </c>
      <c r="L311">
        <v>75</v>
      </c>
      <c r="M311">
        <v>3</v>
      </c>
      <c r="N311" t="b">
        <v>0</v>
      </c>
      <c r="O311">
        <v>0.78</v>
      </c>
      <c r="P311" s="6">
        <v>0.78</v>
      </c>
      <c r="Q311" t="s">
        <v>1038</v>
      </c>
      <c r="R311" t="s">
        <v>1042</v>
      </c>
      <c r="S311">
        <v>13</v>
      </c>
      <c r="T311">
        <v>6</v>
      </c>
    </row>
    <row r="312" spans="1:20" x14ac:dyDescent="0.25">
      <c r="A312" t="s">
        <v>649</v>
      </c>
      <c r="B312" t="s">
        <v>1502</v>
      </c>
      <c r="C312" t="s">
        <v>1322</v>
      </c>
      <c r="E312" t="s">
        <v>1778</v>
      </c>
      <c r="G312" t="s">
        <v>1037</v>
      </c>
      <c r="H312" s="10" t="s">
        <v>1049</v>
      </c>
      <c r="I312">
        <v>2</v>
      </c>
      <c r="J312">
        <v>50</v>
      </c>
      <c r="K312" t="str">
        <f t="shared" si="4"/>
        <v>50</v>
      </c>
      <c r="L312">
        <v>50</v>
      </c>
      <c r="M312">
        <v>3.9</v>
      </c>
      <c r="N312" t="b">
        <v>0</v>
      </c>
      <c r="P312" s="6">
        <v>0.78</v>
      </c>
      <c r="Q312" t="s">
        <v>1038</v>
      </c>
      <c r="R312" t="s">
        <v>1032</v>
      </c>
      <c r="S312">
        <v>4</v>
      </c>
      <c r="T312">
        <v>1</v>
      </c>
    </row>
    <row r="313" spans="1:20" x14ac:dyDescent="0.25">
      <c r="A313" t="s">
        <v>651</v>
      </c>
      <c r="B313" t="s">
        <v>1504</v>
      </c>
      <c r="C313" t="s">
        <v>1092</v>
      </c>
      <c r="E313" t="s">
        <v>1659</v>
      </c>
      <c r="G313" t="s">
        <v>1027</v>
      </c>
      <c r="H313" s="10" t="s">
        <v>1054</v>
      </c>
      <c r="I313">
        <v>1</v>
      </c>
      <c r="J313">
        <v>40</v>
      </c>
      <c r="K313" t="str">
        <f t="shared" si="4"/>
        <v>40</v>
      </c>
      <c r="L313">
        <v>40</v>
      </c>
      <c r="M313">
        <v>1.7</v>
      </c>
      <c r="N313" t="b">
        <v>0</v>
      </c>
      <c r="O313">
        <v>74</v>
      </c>
      <c r="P313" s="6">
        <v>0.74</v>
      </c>
      <c r="Q313" t="s">
        <v>1038</v>
      </c>
      <c r="R313" t="s">
        <v>1042</v>
      </c>
      <c r="S313">
        <v>4</v>
      </c>
      <c r="T313">
        <v>4</v>
      </c>
    </row>
    <row r="314" spans="1:20" x14ac:dyDescent="0.25">
      <c r="A314" t="s">
        <v>653</v>
      </c>
      <c r="B314" t="s">
        <v>1239</v>
      </c>
      <c r="C314" t="s">
        <v>1505</v>
      </c>
      <c r="E314" t="s">
        <v>1890</v>
      </c>
      <c r="G314" t="s">
        <v>1058</v>
      </c>
      <c r="H314" s="10" t="s">
        <v>1054</v>
      </c>
      <c r="I314">
        <v>13</v>
      </c>
      <c r="J314">
        <v>20</v>
      </c>
      <c r="K314" t="str">
        <f t="shared" si="4"/>
        <v>20</v>
      </c>
      <c r="L314">
        <v>20</v>
      </c>
      <c r="M314">
        <v>4.5</v>
      </c>
      <c r="N314" t="b">
        <v>0</v>
      </c>
      <c r="O314">
        <v>0.91</v>
      </c>
      <c r="P314" s="6">
        <v>0.91</v>
      </c>
      <c r="Q314" t="s">
        <v>1045</v>
      </c>
      <c r="R314" t="s">
        <v>1029</v>
      </c>
      <c r="S314">
        <v>7</v>
      </c>
      <c r="T314">
        <v>6</v>
      </c>
    </row>
    <row r="315" spans="1:20" x14ac:dyDescent="0.25">
      <c r="A315" t="s">
        <v>655</v>
      </c>
      <c r="B315" t="s">
        <v>1243</v>
      </c>
      <c r="C315" t="s">
        <v>1143</v>
      </c>
      <c r="E315" t="s">
        <v>1684</v>
      </c>
      <c r="G315" t="s">
        <v>1027</v>
      </c>
      <c r="H315" s="10" t="s">
        <v>1031</v>
      </c>
      <c r="I315">
        <v>23</v>
      </c>
      <c r="J315" t="s">
        <v>26</v>
      </c>
      <c r="K315" t="str">
        <f t="shared" si="4"/>
        <v>$40</v>
      </c>
      <c r="L315">
        <v>40</v>
      </c>
      <c r="M315">
        <v>3.6</v>
      </c>
      <c r="N315" t="b">
        <v>1</v>
      </c>
      <c r="O315">
        <v>0.71</v>
      </c>
      <c r="P315" s="6">
        <v>0.71</v>
      </c>
      <c r="Q315" t="s">
        <v>1046</v>
      </c>
      <c r="R315" t="s">
        <v>1025</v>
      </c>
      <c r="S315">
        <v>12</v>
      </c>
      <c r="T315">
        <v>9</v>
      </c>
    </row>
    <row r="316" spans="1:20" x14ac:dyDescent="0.25">
      <c r="A316" t="s">
        <v>657</v>
      </c>
      <c r="B316" t="s">
        <v>1455</v>
      </c>
      <c r="C316" t="s">
        <v>1506</v>
      </c>
      <c r="E316" t="s">
        <v>1891</v>
      </c>
      <c r="G316" t="s">
        <v>1030</v>
      </c>
      <c r="H316" s="10" t="s">
        <v>1050</v>
      </c>
      <c r="I316">
        <v>10</v>
      </c>
      <c r="J316" t="s">
        <v>34</v>
      </c>
      <c r="K316" t="str">
        <f t="shared" si="4"/>
        <v>USD 75</v>
      </c>
      <c r="L316">
        <v>75</v>
      </c>
      <c r="M316">
        <v>3.6</v>
      </c>
      <c r="N316" t="b">
        <v>1</v>
      </c>
      <c r="O316">
        <v>0.87</v>
      </c>
      <c r="P316" s="6">
        <v>0.87</v>
      </c>
      <c r="Q316" t="s">
        <v>1038</v>
      </c>
      <c r="R316" t="s">
        <v>1029</v>
      </c>
      <c r="S316">
        <v>5</v>
      </c>
      <c r="T316">
        <v>1</v>
      </c>
    </row>
    <row r="317" spans="1:20" x14ac:dyDescent="0.25">
      <c r="A317" t="s">
        <v>659</v>
      </c>
      <c r="B317" t="s">
        <v>1503</v>
      </c>
      <c r="C317" t="s">
        <v>1507</v>
      </c>
      <c r="E317" t="s">
        <v>1892</v>
      </c>
      <c r="G317" t="s">
        <v>1048</v>
      </c>
      <c r="H317" s="10" t="s">
        <v>1023</v>
      </c>
      <c r="I317">
        <v>3</v>
      </c>
      <c r="J317" t="s">
        <v>21</v>
      </c>
      <c r="K317" t="str">
        <f t="shared" si="4"/>
        <v>USD 100</v>
      </c>
      <c r="L317">
        <v>100</v>
      </c>
      <c r="M317">
        <v>2.8</v>
      </c>
      <c r="N317" t="b">
        <v>1</v>
      </c>
      <c r="O317">
        <v>0.61</v>
      </c>
      <c r="P317" s="6">
        <v>0.61</v>
      </c>
      <c r="Q317" t="s">
        <v>1038</v>
      </c>
      <c r="R317" t="s">
        <v>1032</v>
      </c>
      <c r="S317">
        <v>1</v>
      </c>
      <c r="T317">
        <v>1</v>
      </c>
    </row>
    <row r="318" spans="1:20" x14ac:dyDescent="0.25">
      <c r="A318" t="s">
        <v>661</v>
      </c>
      <c r="B318" t="s">
        <v>1508</v>
      </c>
      <c r="C318" t="s">
        <v>1224</v>
      </c>
      <c r="E318" t="s">
        <v>1726</v>
      </c>
      <c r="G318" t="s">
        <v>1037</v>
      </c>
      <c r="H318" s="10" t="s">
        <v>1054</v>
      </c>
      <c r="I318">
        <v>0</v>
      </c>
      <c r="J318" t="s">
        <v>177</v>
      </c>
      <c r="K318" t="str">
        <f t="shared" si="4"/>
        <v>$100</v>
      </c>
      <c r="L318">
        <v>100</v>
      </c>
      <c r="M318">
        <v>5</v>
      </c>
      <c r="N318" t="b">
        <v>0</v>
      </c>
      <c r="P318" s="6">
        <v>0.78</v>
      </c>
      <c r="Q318" t="s">
        <v>1046</v>
      </c>
      <c r="R318" t="s">
        <v>1029</v>
      </c>
      <c r="S318">
        <v>1</v>
      </c>
      <c r="T318">
        <v>4</v>
      </c>
    </row>
    <row r="319" spans="1:20" x14ac:dyDescent="0.25">
      <c r="A319" t="s">
        <v>663</v>
      </c>
      <c r="B319" t="s">
        <v>1148</v>
      </c>
      <c r="C319" t="s">
        <v>1161</v>
      </c>
      <c r="E319" t="s">
        <v>1693</v>
      </c>
      <c r="G319" t="s">
        <v>1030</v>
      </c>
      <c r="H319" s="10" t="s">
        <v>1031</v>
      </c>
      <c r="I319">
        <v>0</v>
      </c>
      <c r="J319">
        <v>100</v>
      </c>
      <c r="K319" t="str">
        <f t="shared" si="4"/>
        <v>100</v>
      </c>
      <c r="L319">
        <v>100</v>
      </c>
      <c r="M319">
        <v>1.4</v>
      </c>
      <c r="N319" t="b">
        <v>1</v>
      </c>
      <c r="O319">
        <v>0.81</v>
      </c>
      <c r="P319" s="6">
        <v>0.81</v>
      </c>
      <c r="Q319" t="s">
        <v>1038</v>
      </c>
      <c r="R319" t="s">
        <v>1025</v>
      </c>
      <c r="S319">
        <v>2</v>
      </c>
      <c r="T319">
        <v>1</v>
      </c>
    </row>
    <row r="320" spans="1:20" x14ac:dyDescent="0.25">
      <c r="A320" t="s">
        <v>665</v>
      </c>
      <c r="B320" t="s">
        <v>1509</v>
      </c>
      <c r="C320" t="s">
        <v>1510</v>
      </c>
      <c r="E320" t="s">
        <v>1893</v>
      </c>
      <c r="G320" t="s">
        <v>1061</v>
      </c>
      <c r="H320" s="10" t="s">
        <v>1041</v>
      </c>
      <c r="I320">
        <v>17</v>
      </c>
      <c r="J320">
        <v>30</v>
      </c>
      <c r="K320" t="str">
        <f t="shared" si="4"/>
        <v>30</v>
      </c>
      <c r="L320">
        <v>30</v>
      </c>
      <c r="M320">
        <v>2.4</v>
      </c>
      <c r="N320" t="b">
        <v>0</v>
      </c>
      <c r="P320" s="6">
        <v>0.78</v>
      </c>
      <c r="Q320" t="s">
        <v>1024</v>
      </c>
      <c r="R320" t="s">
        <v>1029</v>
      </c>
      <c r="S320">
        <v>18</v>
      </c>
      <c r="T320">
        <v>13</v>
      </c>
    </row>
    <row r="321" spans="1:20" x14ac:dyDescent="0.25">
      <c r="A321" t="s">
        <v>667</v>
      </c>
      <c r="B321" t="s">
        <v>1356</v>
      </c>
      <c r="C321" t="s">
        <v>1511</v>
      </c>
      <c r="E321" t="s">
        <v>1894</v>
      </c>
      <c r="G321" t="s">
        <v>1048</v>
      </c>
      <c r="H321" s="10" t="s">
        <v>1035</v>
      </c>
      <c r="I321">
        <v>9</v>
      </c>
      <c r="J321" t="s">
        <v>37</v>
      </c>
      <c r="K321" t="str">
        <f t="shared" si="4"/>
        <v>USD 40</v>
      </c>
      <c r="L321">
        <v>40</v>
      </c>
      <c r="M321">
        <v>4.5999999999999996</v>
      </c>
      <c r="N321" t="b">
        <v>1</v>
      </c>
      <c r="O321">
        <v>0.84</v>
      </c>
      <c r="P321" s="6">
        <v>0.84</v>
      </c>
      <c r="Q321" t="s">
        <v>1046</v>
      </c>
      <c r="R321" t="s">
        <v>1032</v>
      </c>
      <c r="S321">
        <v>9</v>
      </c>
      <c r="T321">
        <v>2</v>
      </c>
    </row>
    <row r="322" spans="1:20" x14ac:dyDescent="0.25">
      <c r="A322" t="s">
        <v>669</v>
      </c>
      <c r="B322" t="s">
        <v>1292</v>
      </c>
      <c r="C322" t="s">
        <v>1512</v>
      </c>
      <c r="E322" t="s">
        <v>1895</v>
      </c>
      <c r="G322" t="s">
        <v>1059</v>
      </c>
      <c r="H322" s="10" t="s">
        <v>1023</v>
      </c>
      <c r="I322">
        <v>4</v>
      </c>
      <c r="J322" t="s">
        <v>82</v>
      </c>
      <c r="K322" t="str">
        <f t="shared" ref="K322:K385" si="5">TRIM(J322)</f>
        <v>$20</v>
      </c>
      <c r="L322">
        <v>20</v>
      </c>
      <c r="M322">
        <v>3.3</v>
      </c>
      <c r="N322" t="s">
        <v>111</v>
      </c>
      <c r="P322" s="6">
        <v>0.78</v>
      </c>
      <c r="Q322" t="s">
        <v>1046</v>
      </c>
      <c r="R322" t="s">
        <v>1042</v>
      </c>
      <c r="S322">
        <v>4</v>
      </c>
      <c r="T322">
        <v>4</v>
      </c>
    </row>
    <row r="323" spans="1:20" x14ac:dyDescent="0.25">
      <c r="A323" t="s">
        <v>671</v>
      </c>
      <c r="B323" t="s">
        <v>1513</v>
      </c>
      <c r="C323" t="s">
        <v>1101</v>
      </c>
      <c r="E323" t="s">
        <v>1663</v>
      </c>
      <c r="G323" t="s">
        <v>1027</v>
      </c>
      <c r="H323" s="10" t="s">
        <v>1050</v>
      </c>
      <c r="I323">
        <v>0</v>
      </c>
      <c r="J323" t="s">
        <v>26</v>
      </c>
      <c r="K323" t="str">
        <f t="shared" si="5"/>
        <v>$40</v>
      </c>
      <c r="L323">
        <v>40</v>
      </c>
      <c r="M323">
        <v>3.7</v>
      </c>
      <c r="N323" t="b">
        <v>1</v>
      </c>
      <c r="P323" s="6">
        <v>0.78</v>
      </c>
      <c r="Q323" t="s">
        <v>1046</v>
      </c>
      <c r="R323" t="s">
        <v>1029</v>
      </c>
      <c r="S323">
        <v>3</v>
      </c>
      <c r="T323">
        <v>5</v>
      </c>
    </row>
    <row r="324" spans="1:20" x14ac:dyDescent="0.25">
      <c r="A324" t="s">
        <v>673</v>
      </c>
      <c r="B324" t="s">
        <v>1147</v>
      </c>
      <c r="C324" t="s">
        <v>1514</v>
      </c>
      <c r="E324" t="s">
        <v>1896</v>
      </c>
      <c r="G324" t="s">
        <v>1058</v>
      </c>
      <c r="H324" s="10" t="s">
        <v>1031</v>
      </c>
      <c r="I324">
        <v>33</v>
      </c>
      <c r="K324" t="str">
        <f t="shared" si="5"/>
        <v/>
      </c>
      <c r="L324">
        <v>70</v>
      </c>
      <c r="M324">
        <v>0</v>
      </c>
      <c r="N324" t="b">
        <v>1</v>
      </c>
      <c r="O324">
        <v>0.6</v>
      </c>
      <c r="P324" s="6">
        <v>0.6</v>
      </c>
      <c r="Q324" t="s">
        <v>1024</v>
      </c>
      <c r="R324" t="s">
        <v>1032</v>
      </c>
      <c r="S324">
        <v>13</v>
      </c>
      <c r="T324">
        <v>7</v>
      </c>
    </row>
    <row r="325" spans="1:20" x14ac:dyDescent="0.25">
      <c r="A325" t="s">
        <v>675</v>
      </c>
      <c r="B325" t="s">
        <v>1369</v>
      </c>
      <c r="C325" t="s">
        <v>1099</v>
      </c>
      <c r="E325" t="s">
        <v>1662</v>
      </c>
      <c r="G325" t="s">
        <v>1056</v>
      </c>
      <c r="H325" s="10" t="s">
        <v>1050</v>
      </c>
      <c r="I325">
        <v>18</v>
      </c>
      <c r="J325">
        <v>50</v>
      </c>
      <c r="K325" t="str">
        <f t="shared" si="5"/>
        <v>50</v>
      </c>
      <c r="L325">
        <v>50</v>
      </c>
      <c r="M325">
        <v>0</v>
      </c>
      <c r="N325" t="b">
        <v>1</v>
      </c>
      <c r="O325">
        <v>0.64</v>
      </c>
      <c r="P325" s="6">
        <v>0.64</v>
      </c>
      <c r="Q325" t="s">
        <v>1046</v>
      </c>
      <c r="R325" t="s">
        <v>1032</v>
      </c>
      <c r="S325">
        <v>11</v>
      </c>
      <c r="T325">
        <v>16</v>
      </c>
    </row>
    <row r="326" spans="1:20" x14ac:dyDescent="0.25">
      <c r="A326" t="s">
        <v>677</v>
      </c>
      <c r="B326" t="s">
        <v>1515</v>
      </c>
      <c r="C326" t="s">
        <v>1516</v>
      </c>
      <c r="E326" t="s">
        <v>1897</v>
      </c>
      <c r="G326" t="s">
        <v>1053</v>
      </c>
      <c r="H326" s="10" t="s">
        <v>1028</v>
      </c>
      <c r="I326">
        <v>9</v>
      </c>
      <c r="J326">
        <v>40</v>
      </c>
      <c r="K326" t="str">
        <f t="shared" si="5"/>
        <v>40</v>
      </c>
      <c r="L326">
        <v>40</v>
      </c>
      <c r="M326">
        <v>2.4</v>
      </c>
      <c r="N326" t="b">
        <v>1</v>
      </c>
      <c r="O326">
        <v>0.64</v>
      </c>
      <c r="P326" s="6">
        <v>0.64</v>
      </c>
      <c r="Q326" t="s">
        <v>1024</v>
      </c>
      <c r="R326" t="s">
        <v>1025</v>
      </c>
      <c r="S326">
        <v>14</v>
      </c>
      <c r="T326">
        <v>12</v>
      </c>
    </row>
    <row r="327" spans="1:20" x14ac:dyDescent="0.25">
      <c r="A327" t="s">
        <v>679</v>
      </c>
      <c r="B327" t="s">
        <v>1133</v>
      </c>
      <c r="C327" t="s">
        <v>1508</v>
      </c>
      <c r="E327" t="s">
        <v>1898</v>
      </c>
      <c r="G327" t="s">
        <v>1048</v>
      </c>
      <c r="H327" s="10" t="s">
        <v>1041</v>
      </c>
      <c r="I327">
        <v>40</v>
      </c>
      <c r="J327">
        <v>75</v>
      </c>
      <c r="K327" t="str">
        <f t="shared" si="5"/>
        <v>75</v>
      </c>
      <c r="L327">
        <v>75</v>
      </c>
      <c r="M327">
        <v>3.4</v>
      </c>
      <c r="N327" t="b">
        <v>1</v>
      </c>
      <c r="O327">
        <v>1</v>
      </c>
      <c r="P327" s="6">
        <v>1</v>
      </c>
      <c r="Q327" t="s">
        <v>1046</v>
      </c>
      <c r="R327" t="s">
        <v>1025</v>
      </c>
      <c r="S327">
        <v>11</v>
      </c>
      <c r="T327">
        <v>12</v>
      </c>
    </row>
    <row r="328" spans="1:20" x14ac:dyDescent="0.25">
      <c r="A328" t="s">
        <v>681</v>
      </c>
      <c r="B328" t="s">
        <v>1189</v>
      </c>
      <c r="C328" t="s">
        <v>1517</v>
      </c>
      <c r="E328" t="s">
        <v>1899</v>
      </c>
      <c r="G328" t="s">
        <v>1048</v>
      </c>
      <c r="H328" s="10" t="s">
        <v>1033</v>
      </c>
      <c r="I328">
        <v>1</v>
      </c>
      <c r="J328">
        <v>40</v>
      </c>
      <c r="K328" t="str">
        <f t="shared" si="5"/>
        <v>40</v>
      </c>
      <c r="L328">
        <v>40</v>
      </c>
      <c r="M328">
        <v>1.6</v>
      </c>
      <c r="N328" t="b">
        <v>1</v>
      </c>
      <c r="O328">
        <v>100</v>
      </c>
      <c r="P328" s="6">
        <v>1</v>
      </c>
      <c r="Q328" t="s">
        <v>1045</v>
      </c>
      <c r="R328" t="s">
        <v>1029</v>
      </c>
      <c r="S328">
        <v>4</v>
      </c>
      <c r="T328">
        <v>1</v>
      </c>
    </row>
    <row r="329" spans="1:20" x14ac:dyDescent="0.25">
      <c r="A329" t="s">
        <v>683</v>
      </c>
      <c r="B329" t="s">
        <v>1150</v>
      </c>
      <c r="C329" t="s">
        <v>1143</v>
      </c>
      <c r="E329" t="s">
        <v>1684</v>
      </c>
      <c r="G329" t="s">
        <v>1070</v>
      </c>
      <c r="H329" s="10" t="s">
        <v>1028</v>
      </c>
      <c r="I329">
        <v>5</v>
      </c>
      <c r="J329">
        <v>20</v>
      </c>
      <c r="K329" t="str">
        <f t="shared" si="5"/>
        <v>20</v>
      </c>
      <c r="L329">
        <v>20</v>
      </c>
      <c r="M329">
        <v>1.9</v>
      </c>
      <c r="N329" t="b">
        <v>0</v>
      </c>
      <c r="P329" s="6">
        <v>0.78</v>
      </c>
      <c r="Q329" t="s">
        <v>1038</v>
      </c>
      <c r="R329" t="s">
        <v>1042</v>
      </c>
      <c r="S329">
        <v>5</v>
      </c>
      <c r="T329">
        <v>1</v>
      </c>
    </row>
    <row r="330" spans="1:20" x14ac:dyDescent="0.25">
      <c r="A330" t="s">
        <v>685</v>
      </c>
      <c r="B330" t="s">
        <v>1489</v>
      </c>
      <c r="C330" t="s">
        <v>1518</v>
      </c>
      <c r="E330" t="s">
        <v>1900</v>
      </c>
      <c r="G330" t="s">
        <v>1048</v>
      </c>
      <c r="H330" s="10" t="s">
        <v>30</v>
      </c>
      <c r="I330">
        <v>4</v>
      </c>
      <c r="J330" t="s">
        <v>44</v>
      </c>
      <c r="K330" t="str">
        <f t="shared" si="5"/>
        <v>$50</v>
      </c>
      <c r="L330">
        <v>50</v>
      </c>
      <c r="M330">
        <v>0</v>
      </c>
      <c r="N330" t="b">
        <v>1</v>
      </c>
      <c r="O330">
        <v>0.83</v>
      </c>
      <c r="P330" s="6">
        <v>0.83</v>
      </c>
      <c r="Q330" t="s">
        <v>1045</v>
      </c>
      <c r="R330" t="s">
        <v>1032</v>
      </c>
      <c r="S330">
        <v>5</v>
      </c>
      <c r="T330">
        <v>1</v>
      </c>
    </row>
    <row r="331" spans="1:20" x14ac:dyDescent="0.25">
      <c r="A331" t="s">
        <v>687</v>
      </c>
      <c r="B331" t="s">
        <v>1251</v>
      </c>
      <c r="C331" t="s">
        <v>1203</v>
      </c>
      <c r="E331" t="s">
        <v>1715</v>
      </c>
      <c r="G331" t="s">
        <v>1022</v>
      </c>
      <c r="H331" s="10" t="s">
        <v>1035</v>
      </c>
      <c r="I331">
        <v>13</v>
      </c>
      <c r="J331" t="s">
        <v>37</v>
      </c>
      <c r="K331" t="str">
        <f t="shared" si="5"/>
        <v>USD 40</v>
      </c>
      <c r="L331">
        <v>40</v>
      </c>
      <c r="M331">
        <v>2.4</v>
      </c>
      <c r="N331" t="b">
        <v>1</v>
      </c>
      <c r="O331">
        <v>0.87</v>
      </c>
      <c r="P331" s="6">
        <v>0.87</v>
      </c>
      <c r="Q331" t="s">
        <v>1038</v>
      </c>
      <c r="R331" t="s">
        <v>1029</v>
      </c>
      <c r="S331">
        <v>9</v>
      </c>
      <c r="T331">
        <v>10</v>
      </c>
    </row>
    <row r="332" spans="1:20" x14ac:dyDescent="0.25">
      <c r="A332" t="s">
        <v>689</v>
      </c>
      <c r="B332" t="s">
        <v>1519</v>
      </c>
      <c r="C332" t="s">
        <v>1417</v>
      </c>
      <c r="E332" t="s">
        <v>1833</v>
      </c>
      <c r="G332" t="s">
        <v>1027</v>
      </c>
      <c r="H332" s="10" t="s">
        <v>1028</v>
      </c>
      <c r="I332">
        <v>33</v>
      </c>
      <c r="J332" t="s">
        <v>177</v>
      </c>
      <c r="K332" t="str">
        <f t="shared" si="5"/>
        <v>$100</v>
      </c>
      <c r="L332">
        <v>100</v>
      </c>
      <c r="M332">
        <v>2.4</v>
      </c>
      <c r="N332" t="s">
        <v>111</v>
      </c>
      <c r="O332">
        <v>0.75</v>
      </c>
      <c r="P332" s="6">
        <v>0.75</v>
      </c>
      <c r="Q332" t="s">
        <v>1024</v>
      </c>
      <c r="R332" t="s">
        <v>1032</v>
      </c>
      <c r="S332">
        <v>12</v>
      </c>
      <c r="T332">
        <v>1</v>
      </c>
    </row>
    <row r="333" spans="1:20" x14ac:dyDescent="0.25">
      <c r="A333" t="s">
        <v>691</v>
      </c>
      <c r="B333" t="s">
        <v>1520</v>
      </c>
      <c r="C333" t="s">
        <v>1521</v>
      </c>
      <c r="E333" t="s">
        <v>1901</v>
      </c>
      <c r="G333" t="s">
        <v>1027</v>
      </c>
      <c r="H333" s="10" t="s">
        <v>1028</v>
      </c>
      <c r="I333">
        <v>22</v>
      </c>
      <c r="J333">
        <v>40</v>
      </c>
      <c r="K333" t="str">
        <f t="shared" si="5"/>
        <v>40</v>
      </c>
      <c r="L333">
        <v>40</v>
      </c>
      <c r="M333">
        <v>1.1000000000000001</v>
      </c>
      <c r="N333" t="b">
        <v>1</v>
      </c>
      <c r="O333">
        <v>0.61</v>
      </c>
      <c r="P333" s="6">
        <v>0.61</v>
      </c>
      <c r="Q333" t="s">
        <v>1045</v>
      </c>
      <c r="R333" t="s">
        <v>1032</v>
      </c>
      <c r="S333">
        <v>10</v>
      </c>
      <c r="T333">
        <v>19</v>
      </c>
    </row>
    <row r="334" spans="1:20" x14ac:dyDescent="0.25">
      <c r="A334" t="s">
        <v>693</v>
      </c>
      <c r="B334" t="s">
        <v>1522</v>
      </c>
      <c r="C334" t="s">
        <v>1132</v>
      </c>
      <c r="E334" t="s">
        <v>1679</v>
      </c>
      <c r="G334" t="s">
        <v>1027</v>
      </c>
      <c r="H334" s="10" t="s">
        <v>1054</v>
      </c>
      <c r="I334">
        <v>34</v>
      </c>
      <c r="K334" t="str">
        <f t="shared" si="5"/>
        <v/>
      </c>
      <c r="L334">
        <v>70</v>
      </c>
      <c r="M334">
        <v>2.4</v>
      </c>
      <c r="N334" t="b">
        <v>0</v>
      </c>
      <c r="O334">
        <v>0.93</v>
      </c>
      <c r="P334" s="6">
        <v>0.93</v>
      </c>
      <c r="Q334" t="s">
        <v>1046</v>
      </c>
      <c r="R334" t="s">
        <v>1042</v>
      </c>
      <c r="S334">
        <v>20</v>
      </c>
      <c r="T334">
        <v>9</v>
      </c>
    </row>
    <row r="335" spans="1:20" x14ac:dyDescent="0.25">
      <c r="A335" t="s">
        <v>695</v>
      </c>
      <c r="B335" t="s">
        <v>1342</v>
      </c>
      <c r="C335" t="s">
        <v>1215</v>
      </c>
      <c r="E335" t="s">
        <v>1721</v>
      </c>
      <c r="G335" t="s">
        <v>1030</v>
      </c>
      <c r="H335" s="10" t="s">
        <v>1028</v>
      </c>
      <c r="I335">
        <v>8</v>
      </c>
      <c r="J335" t="s">
        <v>73</v>
      </c>
      <c r="K335" t="str">
        <f t="shared" si="5"/>
        <v>USD 30</v>
      </c>
      <c r="L335">
        <v>30</v>
      </c>
      <c r="M335">
        <v>3.6</v>
      </c>
      <c r="N335" t="b">
        <v>1</v>
      </c>
      <c r="P335" s="6">
        <v>0.78</v>
      </c>
      <c r="Q335" t="s">
        <v>1038</v>
      </c>
      <c r="R335" t="s">
        <v>1042</v>
      </c>
      <c r="S335">
        <v>8</v>
      </c>
      <c r="T335">
        <v>3</v>
      </c>
    </row>
    <row r="336" spans="1:20" x14ac:dyDescent="0.25">
      <c r="A336" t="s">
        <v>697</v>
      </c>
      <c r="B336" t="s">
        <v>1336</v>
      </c>
      <c r="C336" t="s">
        <v>1112</v>
      </c>
      <c r="E336" t="s">
        <v>1669</v>
      </c>
      <c r="G336" t="s">
        <v>1048</v>
      </c>
      <c r="H336" s="10" t="s">
        <v>1033</v>
      </c>
      <c r="I336">
        <v>1</v>
      </c>
      <c r="J336" t="s">
        <v>262</v>
      </c>
      <c r="K336" t="str">
        <f t="shared" si="5"/>
        <v>USD 20</v>
      </c>
      <c r="L336">
        <v>20</v>
      </c>
      <c r="M336">
        <v>2.4</v>
      </c>
      <c r="N336" t="b">
        <v>0</v>
      </c>
      <c r="O336">
        <v>0.99</v>
      </c>
      <c r="P336" s="6">
        <v>0.99</v>
      </c>
      <c r="Q336" t="s">
        <v>1038</v>
      </c>
      <c r="R336" t="s">
        <v>1029</v>
      </c>
      <c r="S336">
        <v>4</v>
      </c>
      <c r="T336">
        <v>2</v>
      </c>
    </row>
    <row r="337" spans="1:20" x14ac:dyDescent="0.25">
      <c r="A337" t="s">
        <v>699</v>
      </c>
      <c r="B337" t="s">
        <v>1351</v>
      </c>
      <c r="C337" t="s">
        <v>1130</v>
      </c>
      <c r="E337" t="s">
        <v>1678</v>
      </c>
      <c r="G337" t="s">
        <v>1027</v>
      </c>
      <c r="H337" s="10" t="s">
        <v>1049</v>
      </c>
      <c r="I337">
        <v>20</v>
      </c>
      <c r="J337">
        <v>50</v>
      </c>
      <c r="K337" t="str">
        <f t="shared" si="5"/>
        <v>50</v>
      </c>
      <c r="L337">
        <v>50</v>
      </c>
      <c r="M337">
        <v>4.4000000000000004</v>
      </c>
      <c r="N337" t="b">
        <v>0</v>
      </c>
      <c r="O337">
        <v>73</v>
      </c>
      <c r="P337" s="6">
        <v>0.73</v>
      </c>
      <c r="Q337" t="s">
        <v>1045</v>
      </c>
      <c r="R337" t="s">
        <v>1042</v>
      </c>
      <c r="S337">
        <v>20</v>
      </c>
      <c r="T337">
        <v>12</v>
      </c>
    </row>
    <row r="338" spans="1:20" x14ac:dyDescent="0.25">
      <c r="A338" t="s">
        <v>701</v>
      </c>
      <c r="B338" t="s">
        <v>1523</v>
      </c>
      <c r="C338" t="s">
        <v>1524</v>
      </c>
      <c r="E338" t="s">
        <v>1902</v>
      </c>
      <c r="G338" t="s">
        <v>1027</v>
      </c>
      <c r="H338" s="10" t="s">
        <v>1031</v>
      </c>
      <c r="I338">
        <v>11</v>
      </c>
      <c r="J338">
        <v>75</v>
      </c>
      <c r="K338" t="str">
        <f t="shared" si="5"/>
        <v>75</v>
      </c>
      <c r="L338">
        <v>75</v>
      </c>
      <c r="M338">
        <v>2.1</v>
      </c>
      <c r="N338" t="b">
        <v>0</v>
      </c>
      <c r="O338">
        <v>0.96</v>
      </c>
      <c r="P338" s="6">
        <v>0.96</v>
      </c>
      <c r="Q338" t="s">
        <v>1024</v>
      </c>
      <c r="R338" t="s">
        <v>1042</v>
      </c>
      <c r="S338">
        <v>7</v>
      </c>
      <c r="T338">
        <v>5</v>
      </c>
    </row>
    <row r="339" spans="1:20" x14ac:dyDescent="0.25">
      <c r="A339" t="s">
        <v>703</v>
      </c>
      <c r="B339" t="s">
        <v>1142</v>
      </c>
      <c r="C339" t="s">
        <v>1215</v>
      </c>
      <c r="E339" t="s">
        <v>1721</v>
      </c>
      <c r="G339" t="s">
        <v>1044</v>
      </c>
      <c r="H339" s="10" t="s">
        <v>1041</v>
      </c>
      <c r="I339">
        <v>2</v>
      </c>
      <c r="J339">
        <v>40</v>
      </c>
      <c r="K339" t="str">
        <f t="shared" si="5"/>
        <v>40</v>
      </c>
      <c r="L339">
        <v>40</v>
      </c>
      <c r="M339">
        <v>0</v>
      </c>
      <c r="N339" t="b">
        <v>0</v>
      </c>
      <c r="O339">
        <v>0.6</v>
      </c>
      <c r="P339" s="6">
        <v>0.6</v>
      </c>
      <c r="Q339" t="s">
        <v>1045</v>
      </c>
      <c r="R339" t="s">
        <v>1029</v>
      </c>
      <c r="S339">
        <v>5</v>
      </c>
      <c r="T339">
        <v>2</v>
      </c>
    </row>
    <row r="340" spans="1:20" x14ac:dyDescent="0.25">
      <c r="A340" t="s">
        <v>705</v>
      </c>
      <c r="B340" t="s">
        <v>1365</v>
      </c>
      <c r="C340" t="s">
        <v>1525</v>
      </c>
      <c r="E340" t="s">
        <v>1903</v>
      </c>
      <c r="G340" t="s">
        <v>1059</v>
      </c>
      <c r="H340" s="10" t="s">
        <v>1031</v>
      </c>
      <c r="I340">
        <v>6</v>
      </c>
      <c r="J340">
        <v>20</v>
      </c>
      <c r="K340" t="str">
        <f t="shared" si="5"/>
        <v>20</v>
      </c>
      <c r="L340">
        <v>20</v>
      </c>
      <c r="M340">
        <v>1</v>
      </c>
      <c r="N340" t="b">
        <v>1</v>
      </c>
      <c r="O340">
        <v>0.64</v>
      </c>
      <c r="P340" s="6">
        <v>0.64</v>
      </c>
      <c r="Q340" t="s">
        <v>1024</v>
      </c>
      <c r="R340" t="s">
        <v>1042</v>
      </c>
      <c r="S340">
        <v>15</v>
      </c>
      <c r="T340">
        <v>6</v>
      </c>
    </row>
    <row r="341" spans="1:20" x14ac:dyDescent="0.25">
      <c r="A341" t="s">
        <v>707</v>
      </c>
      <c r="B341" t="s">
        <v>1526</v>
      </c>
      <c r="C341" t="s">
        <v>1527</v>
      </c>
      <c r="E341" t="s">
        <v>1904</v>
      </c>
      <c r="G341" t="s">
        <v>1030</v>
      </c>
      <c r="H341" s="10" t="s">
        <v>1023</v>
      </c>
      <c r="I341">
        <v>20</v>
      </c>
      <c r="J341" t="s">
        <v>73</v>
      </c>
      <c r="K341" t="str">
        <f t="shared" si="5"/>
        <v>USD 30</v>
      </c>
      <c r="L341">
        <v>30</v>
      </c>
      <c r="M341">
        <v>0</v>
      </c>
      <c r="N341" t="b">
        <v>0</v>
      </c>
      <c r="P341" s="6">
        <v>0.78</v>
      </c>
      <c r="Q341" t="s">
        <v>1024</v>
      </c>
      <c r="R341" t="s">
        <v>1025</v>
      </c>
      <c r="S341">
        <v>18</v>
      </c>
      <c r="T341">
        <v>7</v>
      </c>
    </row>
    <row r="342" spans="1:20" x14ac:dyDescent="0.25">
      <c r="A342" t="s">
        <v>709</v>
      </c>
      <c r="B342" t="s">
        <v>1528</v>
      </c>
      <c r="C342" t="s">
        <v>1215</v>
      </c>
      <c r="E342" t="s">
        <v>1721</v>
      </c>
      <c r="G342" t="s">
        <v>1027</v>
      </c>
      <c r="H342" s="10" t="s">
        <v>1054</v>
      </c>
      <c r="I342">
        <v>10</v>
      </c>
      <c r="J342" t="s">
        <v>262</v>
      </c>
      <c r="K342" t="str">
        <f t="shared" si="5"/>
        <v>USD 20</v>
      </c>
      <c r="L342">
        <v>20</v>
      </c>
      <c r="M342">
        <v>4.9000000000000004</v>
      </c>
      <c r="N342" t="b">
        <v>0</v>
      </c>
      <c r="P342" s="6">
        <v>0.78</v>
      </c>
      <c r="Q342" t="s">
        <v>1038</v>
      </c>
      <c r="R342" t="s">
        <v>1032</v>
      </c>
      <c r="S342">
        <v>5</v>
      </c>
      <c r="T342">
        <v>3</v>
      </c>
    </row>
    <row r="343" spans="1:20" x14ac:dyDescent="0.25">
      <c r="A343" t="s">
        <v>711</v>
      </c>
      <c r="B343" t="s">
        <v>1529</v>
      </c>
      <c r="C343" t="s">
        <v>1530</v>
      </c>
      <c r="E343" t="s">
        <v>1905</v>
      </c>
      <c r="G343" t="s">
        <v>1022</v>
      </c>
      <c r="H343" s="10" t="s">
        <v>30</v>
      </c>
      <c r="I343">
        <v>4</v>
      </c>
      <c r="J343">
        <v>30</v>
      </c>
      <c r="K343" t="str">
        <f t="shared" si="5"/>
        <v>30</v>
      </c>
      <c r="L343">
        <v>30</v>
      </c>
      <c r="M343">
        <v>4.7</v>
      </c>
      <c r="N343" t="s">
        <v>111</v>
      </c>
      <c r="O343">
        <v>0.99</v>
      </c>
      <c r="P343" s="6">
        <v>0.99</v>
      </c>
      <c r="Q343" t="s">
        <v>1045</v>
      </c>
      <c r="R343" t="s">
        <v>1032</v>
      </c>
      <c r="S343">
        <v>2</v>
      </c>
      <c r="T343">
        <v>1</v>
      </c>
    </row>
    <row r="344" spans="1:20" x14ac:dyDescent="0.25">
      <c r="A344" t="s">
        <v>713</v>
      </c>
      <c r="B344" t="s">
        <v>1531</v>
      </c>
      <c r="C344" t="s">
        <v>1139</v>
      </c>
      <c r="E344" t="s">
        <v>1682</v>
      </c>
      <c r="G344" t="s">
        <v>1022</v>
      </c>
      <c r="H344" s="10" t="s">
        <v>1023</v>
      </c>
      <c r="I344">
        <v>3</v>
      </c>
      <c r="J344" t="s">
        <v>37</v>
      </c>
      <c r="K344" t="str">
        <f t="shared" si="5"/>
        <v>USD 40</v>
      </c>
      <c r="L344">
        <v>40</v>
      </c>
      <c r="M344">
        <v>2.1</v>
      </c>
      <c r="N344" t="b">
        <v>0</v>
      </c>
      <c r="P344" s="6">
        <v>0.78</v>
      </c>
      <c r="Q344" t="s">
        <v>1045</v>
      </c>
      <c r="R344" t="s">
        <v>1032</v>
      </c>
      <c r="S344">
        <v>4</v>
      </c>
      <c r="T344">
        <v>1</v>
      </c>
    </row>
    <row r="345" spans="1:20" x14ac:dyDescent="0.25">
      <c r="A345" t="s">
        <v>715</v>
      </c>
      <c r="B345" t="s">
        <v>1087</v>
      </c>
      <c r="C345" t="s">
        <v>1532</v>
      </c>
      <c r="E345" t="s">
        <v>1906</v>
      </c>
      <c r="G345" t="s">
        <v>1037</v>
      </c>
      <c r="H345" s="10" t="s">
        <v>1028</v>
      </c>
      <c r="I345">
        <v>33</v>
      </c>
      <c r="J345">
        <v>40</v>
      </c>
      <c r="K345" t="str">
        <f t="shared" si="5"/>
        <v>40</v>
      </c>
      <c r="L345">
        <v>40</v>
      </c>
      <c r="M345">
        <v>1.5</v>
      </c>
      <c r="N345" t="b">
        <v>1</v>
      </c>
      <c r="O345">
        <v>0.71</v>
      </c>
      <c r="P345" s="6">
        <v>0.71</v>
      </c>
      <c r="Q345" t="s">
        <v>1024</v>
      </c>
      <c r="R345" t="s">
        <v>1032</v>
      </c>
      <c r="S345">
        <v>10</v>
      </c>
      <c r="T345">
        <v>11</v>
      </c>
    </row>
    <row r="346" spans="1:20" x14ac:dyDescent="0.25">
      <c r="A346" t="s">
        <v>717</v>
      </c>
      <c r="B346" t="s">
        <v>1533</v>
      </c>
      <c r="C346" t="s">
        <v>1240</v>
      </c>
      <c r="E346" t="s">
        <v>1734</v>
      </c>
      <c r="G346" t="s">
        <v>1027</v>
      </c>
      <c r="H346" s="10" t="s">
        <v>1050</v>
      </c>
      <c r="I346">
        <v>1</v>
      </c>
      <c r="K346" t="str">
        <f t="shared" si="5"/>
        <v/>
      </c>
      <c r="L346">
        <v>70</v>
      </c>
      <c r="M346">
        <v>2.6</v>
      </c>
      <c r="N346" t="b">
        <v>0</v>
      </c>
      <c r="O346">
        <v>0.72</v>
      </c>
      <c r="P346" s="6">
        <v>0.72</v>
      </c>
      <c r="Q346" t="s">
        <v>1045</v>
      </c>
      <c r="R346" t="s">
        <v>1029</v>
      </c>
      <c r="S346">
        <v>5</v>
      </c>
      <c r="T346">
        <v>1</v>
      </c>
    </row>
    <row r="347" spans="1:20" x14ac:dyDescent="0.25">
      <c r="A347" t="s">
        <v>719</v>
      </c>
      <c r="B347" t="s">
        <v>1152</v>
      </c>
      <c r="C347" t="s">
        <v>1099</v>
      </c>
      <c r="E347" t="s">
        <v>1662</v>
      </c>
      <c r="G347" t="s">
        <v>1044</v>
      </c>
      <c r="H347" s="10" t="s">
        <v>1033</v>
      </c>
      <c r="I347">
        <v>23</v>
      </c>
      <c r="J347" t="s">
        <v>64</v>
      </c>
      <c r="K347" t="str">
        <f t="shared" si="5"/>
        <v>USD 50</v>
      </c>
      <c r="L347">
        <v>50</v>
      </c>
      <c r="M347">
        <v>0</v>
      </c>
      <c r="N347" t="b">
        <v>0</v>
      </c>
      <c r="O347">
        <v>0.66</v>
      </c>
      <c r="P347" s="6">
        <v>0.66</v>
      </c>
      <c r="Q347" t="s">
        <v>1046</v>
      </c>
      <c r="R347" t="s">
        <v>1032</v>
      </c>
      <c r="S347">
        <v>10</v>
      </c>
      <c r="T347">
        <v>6</v>
      </c>
    </row>
    <row r="348" spans="1:20" x14ac:dyDescent="0.25">
      <c r="A348" t="s">
        <v>721</v>
      </c>
      <c r="B348" t="s">
        <v>1413</v>
      </c>
      <c r="C348" t="s">
        <v>1534</v>
      </c>
      <c r="D348" t="s">
        <v>1321</v>
      </c>
      <c r="E348" t="s">
        <v>1907</v>
      </c>
      <c r="G348" t="s">
        <v>1064</v>
      </c>
      <c r="H348" s="10" t="s">
        <v>1041</v>
      </c>
      <c r="I348">
        <v>13</v>
      </c>
      <c r="J348">
        <v>40</v>
      </c>
      <c r="K348" t="str">
        <f t="shared" si="5"/>
        <v>40</v>
      </c>
      <c r="L348">
        <v>40</v>
      </c>
      <c r="M348">
        <v>2.4</v>
      </c>
      <c r="N348" t="b">
        <v>0</v>
      </c>
      <c r="O348">
        <v>0.78</v>
      </c>
      <c r="P348" s="6">
        <v>0.78</v>
      </c>
      <c r="Q348" t="s">
        <v>1046</v>
      </c>
      <c r="R348" t="s">
        <v>1032</v>
      </c>
      <c r="S348">
        <v>15</v>
      </c>
      <c r="T348">
        <v>10</v>
      </c>
    </row>
    <row r="349" spans="1:20" x14ac:dyDescent="0.25">
      <c r="A349" t="s">
        <v>723</v>
      </c>
      <c r="B349" t="s">
        <v>1535</v>
      </c>
      <c r="C349" t="s">
        <v>1203</v>
      </c>
      <c r="E349" t="s">
        <v>1715</v>
      </c>
      <c r="G349" t="s">
        <v>1027</v>
      </c>
      <c r="H349" s="10" t="s">
        <v>1054</v>
      </c>
      <c r="I349">
        <v>1</v>
      </c>
      <c r="J349" t="s">
        <v>262</v>
      </c>
      <c r="K349" t="str">
        <f t="shared" si="5"/>
        <v>USD 20</v>
      </c>
      <c r="L349">
        <v>20</v>
      </c>
      <c r="M349">
        <v>4</v>
      </c>
      <c r="N349" t="b">
        <v>1</v>
      </c>
      <c r="O349">
        <v>100</v>
      </c>
      <c r="P349" s="6">
        <v>1</v>
      </c>
      <c r="Q349" t="s">
        <v>1045</v>
      </c>
      <c r="R349" t="s">
        <v>1032</v>
      </c>
      <c r="S349">
        <v>1</v>
      </c>
      <c r="T349">
        <v>3</v>
      </c>
    </row>
    <row r="350" spans="1:20" x14ac:dyDescent="0.25">
      <c r="A350" t="s">
        <v>725</v>
      </c>
      <c r="B350" t="s">
        <v>1536</v>
      </c>
      <c r="C350" t="s">
        <v>1228</v>
      </c>
      <c r="E350" t="s">
        <v>1728</v>
      </c>
      <c r="G350" t="s">
        <v>1022</v>
      </c>
      <c r="H350" s="10" t="s">
        <v>1054</v>
      </c>
      <c r="I350">
        <v>15</v>
      </c>
      <c r="J350">
        <v>40</v>
      </c>
      <c r="K350" t="str">
        <f t="shared" si="5"/>
        <v>40</v>
      </c>
      <c r="L350">
        <v>40</v>
      </c>
      <c r="M350">
        <v>4.5</v>
      </c>
      <c r="N350" t="b">
        <v>0</v>
      </c>
      <c r="P350" s="6">
        <v>0.78</v>
      </c>
      <c r="Q350" t="s">
        <v>1045</v>
      </c>
      <c r="R350" t="s">
        <v>1032</v>
      </c>
      <c r="S350">
        <v>9</v>
      </c>
      <c r="T350">
        <v>10</v>
      </c>
    </row>
    <row r="351" spans="1:20" x14ac:dyDescent="0.25">
      <c r="A351" t="s">
        <v>727</v>
      </c>
      <c r="B351" t="s">
        <v>1479</v>
      </c>
      <c r="C351" t="s">
        <v>1537</v>
      </c>
      <c r="E351" t="s">
        <v>1908</v>
      </c>
      <c r="G351" t="s">
        <v>1058</v>
      </c>
      <c r="H351" s="10" t="s">
        <v>1028</v>
      </c>
      <c r="I351">
        <v>18</v>
      </c>
      <c r="J351">
        <v>75</v>
      </c>
      <c r="K351" t="str">
        <f t="shared" si="5"/>
        <v>75</v>
      </c>
      <c r="L351">
        <v>75</v>
      </c>
      <c r="M351">
        <v>3.8</v>
      </c>
      <c r="N351" t="b">
        <v>0</v>
      </c>
      <c r="O351">
        <v>67</v>
      </c>
      <c r="P351" s="6">
        <v>0.67</v>
      </c>
      <c r="Q351" t="s">
        <v>1024</v>
      </c>
      <c r="R351" t="s">
        <v>1025</v>
      </c>
      <c r="S351">
        <v>14</v>
      </c>
      <c r="T351">
        <v>6</v>
      </c>
    </row>
    <row r="352" spans="1:20" x14ac:dyDescent="0.25">
      <c r="A352" t="s">
        <v>729</v>
      </c>
      <c r="B352" t="s">
        <v>1106</v>
      </c>
      <c r="C352" t="s">
        <v>1538</v>
      </c>
      <c r="E352" t="s">
        <v>1909</v>
      </c>
      <c r="G352" t="s">
        <v>1027</v>
      </c>
      <c r="H352" s="10" t="s">
        <v>1035</v>
      </c>
      <c r="I352">
        <v>21</v>
      </c>
      <c r="J352">
        <v>50</v>
      </c>
      <c r="K352" t="str">
        <f t="shared" si="5"/>
        <v>50</v>
      </c>
      <c r="L352">
        <v>50</v>
      </c>
      <c r="M352">
        <v>4</v>
      </c>
      <c r="N352" t="b">
        <v>0</v>
      </c>
      <c r="O352">
        <v>0.78</v>
      </c>
      <c r="P352" s="6">
        <v>0.78</v>
      </c>
      <c r="Q352" t="s">
        <v>1046</v>
      </c>
      <c r="R352" t="s">
        <v>1032</v>
      </c>
      <c r="S352">
        <v>20</v>
      </c>
      <c r="T352">
        <v>7</v>
      </c>
    </row>
    <row r="353" spans="1:20" x14ac:dyDescent="0.25">
      <c r="A353" t="s">
        <v>731</v>
      </c>
      <c r="B353" t="s">
        <v>1148</v>
      </c>
      <c r="C353" t="s">
        <v>1539</v>
      </c>
      <c r="E353" t="s">
        <v>1910</v>
      </c>
      <c r="G353" t="s">
        <v>1037</v>
      </c>
      <c r="H353" s="10" t="s">
        <v>1054</v>
      </c>
      <c r="I353">
        <v>1</v>
      </c>
      <c r="J353" t="s">
        <v>26</v>
      </c>
      <c r="K353" t="str">
        <f t="shared" si="5"/>
        <v>$40</v>
      </c>
      <c r="L353">
        <v>40</v>
      </c>
      <c r="M353">
        <v>4.9000000000000004</v>
      </c>
      <c r="N353" t="b">
        <v>1</v>
      </c>
      <c r="O353">
        <v>0.78</v>
      </c>
      <c r="P353" s="6">
        <v>0.78</v>
      </c>
      <c r="Q353" t="s">
        <v>1046</v>
      </c>
      <c r="R353" t="s">
        <v>1025</v>
      </c>
      <c r="S353">
        <v>3</v>
      </c>
      <c r="T353">
        <v>3</v>
      </c>
    </row>
    <row r="354" spans="1:20" x14ac:dyDescent="0.25">
      <c r="A354" t="s">
        <v>733</v>
      </c>
      <c r="B354" t="s">
        <v>1093</v>
      </c>
      <c r="C354" t="s">
        <v>1540</v>
      </c>
      <c r="E354" t="s">
        <v>1911</v>
      </c>
      <c r="G354" t="s">
        <v>1027</v>
      </c>
      <c r="H354" s="10" t="s">
        <v>1033</v>
      </c>
      <c r="I354">
        <v>25</v>
      </c>
      <c r="J354" t="s">
        <v>31</v>
      </c>
      <c r="K354" t="str">
        <f t="shared" si="5"/>
        <v>$30</v>
      </c>
      <c r="L354">
        <v>30</v>
      </c>
      <c r="M354">
        <v>3.4</v>
      </c>
      <c r="N354" t="b">
        <v>0</v>
      </c>
      <c r="O354">
        <v>0.75</v>
      </c>
      <c r="P354" s="6">
        <v>0.75</v>
      </c>
      <c r="Q354" t="s">
        <v>1038</v>
      </c>
      <c r="R354" t="s">
        <v>1029</v>
      </c>
      <c r="S354">
        <v>15</v>
      </c>
      <c r="T354">
        <v>10</v>
      </c>
    </row>
    <row r="355" spans="1:20" x14ac:dyDescent="0.25">
      <c r="A355" t="s">
        <v>735</v>
      </c>
      <c r="B355" t="s">
        <v>1150</v>
      </c>
      <c r="C355" t="s">
        <v>1541</v>
      </c>
      <c r="E355" t="s">
        <v>1912</v>
      </c>
      <c r="G355" t="s">
        <v>1022</v>
      </c>
      <c r="H355" s="10" t="s">
        <v>1050</v>
      </c>
      <c r="I355">
        <v>12</v>
      </c>
      <c r="J355">
        <v>50</v>
      </c>
      <c r="K355" t="str">
        <f t="shared" si="5"/>
        <v>50</v>
      </c>
      <c r="L355">
        <v>50</v>
      </c>
      <c r="M355">
        <v>2.1</v>
      </c>
      <c r="N355" t="b">
        <v>1</v>
      </c>
      <c r="O355">
        <v>0.67</v>
      </c>
      <c r="P355" s="6">
        <v>0.67</v>
      </c>
      <c r="Q355" t="s">
        <v>1024</v>
      </c>
      <c r="R355" t="s">
        <v>1042</v>
      </c>
      <c r="S355">
        <v>14</v>
      </c>
      <c r="T355">
        <v>10</v>
      </c>
    </row>
    <row r="356" spans="1:20" x14ac:dyDescent="0.25">
      <c r="A356" t="s">
        <v>737</v>
      </c>
      <c r="B356" t="s">
        <v>1542</v>
      </c>
      <c r="C356" t="s">
        <v>1543</v>
      </c>
      <c r="E356" t="s">
        <v>1913</v>
      </c>
      <c r="G356" t="s">
        <v>1053</v>
      </c>
      <c r="H356" s="10" t="s">
        <v>1031</v>
      </c>
      <c r="I356">
        <v>32</v>
      </c>
      <c r="J356" t="s">
        <v>37</v>
      </c>
      <c r="K356" t="str">
        <f t="shared" si="5"/>
        <v>USD 40</v>
      </c>
      <c r="L356">
        <v>40</v>
      </c>
      <c r="M356">
        <v>0</v>
      </c>
      <c r="N356" t="b">
        <v>1</v>
      </c>
      <c r="O356">
        <v>0.86</v>
      </c>
      <c r="P356" s="6">
        <v>0.86</v>
      </c>
      <c r="Q356" t="s">
        <v>1038</v>
      </c>
      <c r="R356" t="s">
        <v>1032</v>
      </c>
      <c r="S356">
        <v>15</v>
      </c>
      <c r="T356">
        <v>5</v>
      </c>
    </row>
    <row r="357" spans="1:20" x14ac:dyDescent="0.25">
      <c r="A357" t="s">
        <v>739</v>
      </c>
      <c r="B357" t="s">
        <v>1314</v>
      </c>
      <c r="C357" t="s">
        <v>1544</v>
      </c>
      <c r="E357" t="s">
        <v>1914</v>
      </c>
      <c r="G357" t="s">
        <v>1048</v>
      </c>
      <c r="H357" s="10" t="s">
        <v>1049</v>
      </c>
      <c r="I357">
        <v>10</v>
      </c>
      <c r="J357">
        <v>100</v>
      </c>
      <c r="K357" t="str">
        <f t="shared" si="5"/>
        <v>100</v>
      </c>
      <c r="L357">
        <v>100</v>
      </c>
      <c r="M357">
        <v>4.5</v>
      </c>
      <c r="N357" t="s">
        <v>111</v>
      </c>
      <c r="O357">
        <v>77</v>
      </c>
      <c r="P357" s="6">
        <v>0.77</v>
      </c>
      <c r="Q357" t="s">
        <v>1046</v>
      </c>
      <c r="R357" t="s">
        <v>1042</v>
      </c>
      <c r="S357">
        <v>3</v>
      </c>
      <c r="T357">
        <v>1</v>
      </c>
    </row>
    <row r="358" spans="1:20" x14ac:dyDescent="0.25">
      <c r="A358" t="s">
        <v>741</v>
      </c>
      <c r="B358" t="s">
        <v>1382</v>
      </c>
      <c r="C358" t="s">
        <v>1233</v>
      </c>
      <c r="E358" t="s">
        <v>1730</v>
      </c>
      <c r="G358" t="s">
        <v>1059</v>
      </c>
      <c r="H358" s="10" t="s">
        <v>1049</v>
      </c>
      <c r="I358">
        <v>10</v>
      </c>
      <c r="J358" t="s">
        <v>31</v>
      </c>
      <c r="K358" t="str">
        <f t="shared" si="5"/>
        <v>$30</v>
      </c>
      <c r="L358">
        <v>30</v>
      </c>
      <c r="M358">
        <v>3.8</v>
      </c>
      <c r="N358" t="b">
        <v>0</v>
      </c>
      <c r="O358">
        <v>0.61</v>
      </c>
      <c r="P358" s="6">
        <v>0.61</v>
      </c>
      <c r="Q358" t="s">
        <v>1024</v>
      </c>
      <c r="R358" t="s">
        <v>1042</v>
      </c>
      <c r="S358">
        <v>11</v>
      </c>
      <c r="T358">
        <v>5</v>
      </c>
    </row>
    <row r="359" spans="1:20" x14ac:dyDescent="0.25">
      <c r="A359" t="s">
        <v>743</v>
      </c>
      <c r="B359" t="s">
        <v>1545</v>
      </c>
      <c r="C359" t="s">
        <v>1546</v>
      </c>
      <c r="E359" t="s">
        <v>1915</v>
      </c>
      <c r="G359" t="s">
        <v>1056</v>
      </c>
      <c r="H359" s="10" t="s">
        <v>1049</v>
      </c>
      <c r="I359">
        <v>0</v>
      </c>
      <c r="K359" t="str">
        <f t="shared" si="5"/>
        <v/>
      </c>
      <c r="L359">
        <v>70</v>
      </c>
      <c r="M359">
        <v>4.3</v>
      </c>
      <c r="N359" t="b">
        <v>0</v>
      </c>
      <c r="O359">
        <v>0.9</v>
      </c>
      <c r="P359" s="6">
        <v>0.9</v>
      </c>
      <c r="Q359" t="s">
        <v>1045</v>
      </c>
      <c r="R359" t="s">
        <v>1029</v>
      </c>
      <c r="S359">
        <v>1</v>
      </c>
      <c r="T359">
        <v>1</v>
      </c>
    </row>
    <row r="360" spans="1:20" x14ac:dyDescent="0.25">
      <c r="A360" t="s">
        <v>745</v>
      </c>
      <c r="B360" t="s">
        <v>1119</v>
      </c>
      <c r="C360" t="s">
        <v>1207</v>
      </c>
      <c r="E360" t="s">
        <v>1717</v>
      </c>
      <c r="G360" t="s">
        <v>1070</v>
      </c>
      <c r="H360" s="10" t="s">
        <v>1041</v>
      </c>
      <c r="I360">
        <v>1</v>
      </c>
      <c r="J360">
        <v>50</v>
      </c>
      <c r="K360" t="str">
        <f t="shared" si="5"/>
        <v>50</v>
      </c>
      <c r="L360">
        <v>50</v>
      </c>
      <c r="M360">
        <v>0</v>
      </c>
      <c r="N360" t="b">
        <v>0</v>
      </c>
      <c r="O360">
        <v>0.98</v>
      </c>
      <c r="P360" s="6">
        <v>0.98</v>
      </c>
      <c r="Q360" t="s">
        <v>1024</v>
      </c>
      <c r="R360" t="s">
        <v>1042</v>
      </c>
      <c r="S360">
        <v>4</v>
      </c>
      <c r="T360">
        <v>5</v>
      </c>
    </row>
    <row r="361" spans="1:20" x14ac:dyDescent="0.25">
      <c r="A361" t="s">
        <v>747</v>
      </c>
      <c r="B361" t="s">
        <v>1351</v>
      </c>
      <c r="C361" t="s">
        <v>1547</v>
      </c>
      <c r="E361" t="s">
        <v>1916</v>
      </c>
      <c r="G361" t="s">
        <v>1056</v>
      </c>
      <c r="H361" s="10" t="s">
        <v>1050</v>
      </c>
      <c r="I361">
        <v>2</v>
      </c>
      <c r="J361">
        <v>30</v>
      </c>
      <c r="K361" t="str">
        <f t="shared" si="5"/>
        <v>30</v>
      </c>
      <c r="L361">
        <v>30</v>
      </c>
      <c r="M361">
        <v>2.4</v>
      </c>
      <c r="N361" t="b">
        <v>1</v>
      </c>
      <c r="O361">
        <v>0.99</v>
      </c>
      <c r="P361" s="6">
        <v>0.99</v>
      </c>
      <c r="Q361" t="s">
        <v>1045</v>
      </c>
      <c r="R361" t="s">
        <v>1025</v>
      </c>
      <c r="S361">
        <v>3</v>
      </c>
      <c r="T361">
        <v>2</v>
      </c>
    </row>
    <row r="362" spans="1:20" x14ac:dyDescent="0.25">
      <c r="A362" t="s">
        <v>749</v>
      </c>
      <c r="B362" t="s">
        <v>1292</v>
      </c>
      <c r="C362" t="s">
        <v>1217</v>
      </c>
      <c r="E362" t="s">
        <v>1722</v>
      </c>
      <c r="G362" t="s">
        <v>1037</v>
      </c>
      <c r="H362" s="10" t="s">
        <v>1041</v>
      </c>
      <c r="I362">
        <v>9</v>
      </c>
      <c r="J362" t="s">
        <v>37</v>
      </c>
      <c r="K362" t="str">
        <f t="shared" si="5"/>
        <v>USD 40</v>
      </c>
      <c r="L362">
        <v>40</v>
      </c>
      <c r="M362">
        <v>2.6</v>
      </c>
      <c r="N362" t="b">
        <v>0</v>
      </c>
      <c r="O362">
        <v>0.61</v>
      </c>
      <c r="P362" s="6">
        <v>0.61</v>
      </c>
      <c r="Q362" t="s">
        <v>1045</v>
      </c>
      <c r="R362" t="s">
        <v>1042</v>
      </c>
      <c r="S362">
        <v>10</v>
      </c>
      <c r="T362">
        <v>5</v>
      </c>
    </row>
    <row r="363" spans="1:20" x14ac:dyDescent="0.25">
      <c r="A363" t="s">
        <v>751</v>
      </c>
      <c r="B363" t="s">
        <v>1548</v>
      </c>
      <c r="C363" t="s">
        <v>1473</v>
      </c>
      <c r="E363" t="s">
        <v>1917</v>
      </c>
      <c r="G363" t="s">
        <v>1053</v>
      </c>
      <c r="H363" s="10" t="s">
        <v>1041</v>
      </c>
      <c r="I363">
        <v>22</v>
      </c>
      <c r="J363" t="s">
        <v>64</v>
      </c>
      <c r="K363" t="str">
        <f t="shared" si="5"/>
        <v>USD 50</v>
      </c>
      <c r="L363">
        <v>50</v>
      </c>
      <c r="M363">
        <v>1.6</v>
      </c>
      <c r="N363" t="b">
        <v>1</v>
      </c>
      <c r="O363">
        <v>0.61</v>
      </c>
      <c r="P363" s="6">
        <v>0.61</v>
      </c>
      <c r="Q363" t="s">
        <v>1024</v>
      </c>
      <c r="R363" t="s">
        <v>1042</v>
      </c>
      <c r="S363">
        <v>10</v>
      </c>
      <c r="T363">
        <v>10</v>
      </c>
    </row>
    <row r="364" spans="1:20" x14ac:dyDescent="0.25">
      <c r="A364" t="s">
        <v>753</v>
      </c>
      <c r="B364" t="s">
        <v>1549</v>
      </c>
      <c r="C364" t="s">
        <v>1550</v>
      </c>
      <c r="E364" t="s">
        <v>1918</v>
      </c>
      <c r="G364" t="s">
        <v>1048</v>
      </c>
      <c r="H364" s="10" t="s">
        <v>1023</v>
      </c>
      <c r="I364">
        <v>5</v>
      </c>
      <c r="J364" t="s">
        <v>31</v>
      </c>
      <c r="K364" t="str">
        <f t="shared" si="5"/>
        <v>$30</v>
      </c>
      <c r="L364">
        <v>30</v>
      </c>
      <c r="M364">
        <v>2.2999999999999998</v>
      </c>
      <c r="N364" t="b">
        <v>0</v>
      </c>
      <c r="O364">
        <v>0.91</v>
      </c>
      <c r="P364" s="6">
        <v>0.91</v>
      </c>
      <c r="Q364" t="s">
        <v>1045</v>
      </c>
      <c r="R364" t="s">
        <v>1042</v>
      </c>
      <c r="S364">
        <v>2</v>
      </c>
      <c r="T364">
        <v>1</v>
      </c>
    </row>
    <row r="365" spans="1:20" x14ac:dyDescent="0.25">
      <c r="A365" t="s">
        <v>755</v>
      </c>
      <c r="B365" t="s">
        <v>1503</v>
      </c>
      <c r="C365" t="s">
        <v>1551</v>
      </c>
      <c r="E365" t="s">
        <v>1919</v>
      </c>
      <c r="G365" t="s">
        <v>1027</v>
      </c>
      <c r="H365" s="10" t="s">
        <v>1050</v>
      </c>
      <c r="I365">
        <v>6</v>
      </c>
      <c r="J365">
        <v>75</v>
      </c>
      <c r="K365" t="str">
        <f t="shared" si="5"/>
        <v>75</v>
      </c>
      <c r="L365">
        <v>75</v>
      </c>
      <c r="M365">
        <v>4.5999999999999996</v>
      </c>
      <c r="N365" t="b">
        <v>1</v>
      </c>
      <c r="O365">
        <v>72</v>
      </c>
      <c r="P365" s="6">
        <v>0.72</v>
      </c>
      <c r="Q365" t="s">
        <v>1038</v>
      </c>
      <c r="R365" t="s">
        <v>1032</v>
      </c>
      <c r="S365">
        <v>13</v>
      </c>
      <c r="T365">
        <v>1</v>
      </c>
    </row>
    <row r="366" spans="1:20" x14ac:dyDescent="0.25">
      <c r="A366" t="s">
        <v>757</v>
      </c>
      <c r="B366" t="s">
        <v>1552</v>
      </c>
      <c r="C366" t="s">
        <v>1553</v>
      </c>
      <c r="E366" t="s">
        <v>1920</v>
      </c>
      <c r="G366" t="s">
        <v>1027</v>
      </c>
      <c r="H366" s="10" t="s">
        <v>1033</v>
      </c>
      <c r="I366">
        <v>26</v>
      </c>
      <c r="J366" t="s">
        <v>177</v>
      </c>
      <c r="K366" t="str">
        <f t="shared" si="5"/>
        <v>$100</v>
      </c>
      <c r="L366">
        <v>100</v>
      </c>
      <c r="M366">
        <v>2.1</v>
      </c>
      <c r="N366" t="b">
        <v>0</v>
      </c>
      <c r="P366" s="6">
        <v>0.78</v>
      </c>
      <c r="Q366" t="s">
        <v>1046</v>
      </c>
      <c r="R366" t="s">
        <v>1032</v>
      </c>
      <c r="S366">
        <v>15</v>
      </c>
      <c r="T366">
        <v>2</v>
      </c>
    </row>
    <row r="367" spans="1:20" x14ac:dyDescent="0.25">
      <c r="A367" t="s">
        <v>759</v>
      </c>
      <c r="B367" t="s">
        <v>1554</v>
      </c>
      <c r="C367" t="s">
        <v>1508</v>
      </c>
      <c r="E367" t="s">
        <v>1898</v>
      </c>
      <c r="G367" t="s">
        <v>1059</v>
      </c>
      <c r="H367" s="10" t="s">
        <v>1023</v>
      </c>
      <c r="I367">
        <v>10</v>
      </c>
      <c r="J367">
        <v>40</v>
      </c>
      <c r="K367" t="str">
        <f t="shared" si="5"/>
        <v>40</v>
      </c>
      <c r="L367">
        <v>40</v>
      </c>
      <c r="M367">
        <v>1.5</v>
      </c>
      <c r="N367" t="b">
        <v>0</v>
      </c>
      <c r="O367">
        <v>0.96</v>
      </c>
      <c r="P367" s="6">
        <v>0.96</v>
      </c>
      <c r="Q367" t="s">
        <v>1045</v>
      </c>
      <c r="R367" t="s">
        <v>1025</v>
      </c>
      <c r="S367">
        <v>4</v>
      </c>
      <c r="T367">
        <v>3</v>
      </c>
    </row>
    <row r="368" spans="1:20" x14ac:dyDescent="0.25">
      <c r="A368" t="s">
        <v>761</v>
      </c>
      <c r="B368" t="s">
        <v>1367</v>
      </c>
      <c r="C368" t="s">
        <v>1163</v>
      </c>
      <c r="E368" t="s">
        <v>1694</v>
      </c>
      <c r="G368" t="s">
        <v>1070</v>
      </c>
      <c r="H368" s="10" t="s">
        <v>30</v>
      </c>
      <c r="I368">
        <v>9</v>
      </c>
      <c r="J368" t="s">
        <v>37</v>
      </c>
      <c r="K368" t="str">
        <f t="shared" si="5"/>
        <v>USD 40</v>
      </c>
      <c r="L368">
        <v>40</v>
      </c>
      <c r="M368">
        <v>1.7</v>
      </c>
      <c r="N368" t="b">
        <v>1</v>
      </c>
      <c r="O368">
        <v>72</v>
      </c>
      <c r="P368" s="6">
        <v>0.72</v>
      </c>
      <c r="Q368" t="s">
        <v>1038</v>
      </c>
      <c r="R368" t="s">
        <v>1025</v>
      </c>
      <c r="S368">
        <v>9</v>
      </c>
      <c r="T368">
        <v>12</v>
      </c>
    </row>
    <row r="369" spans="1:20" x14ac:dyDescent="0.25">
      <c r="A369" t="s">
        <v>763</v>
      </c>
      <c r="B369" t="s">
        <v>1555</v>
      </c>
      <c r="C369" t="s">
        <v>1278</v>
      </c>
      <c r="E369" t="s">
        <v>1755</v>
      </c>
      <c r="G369" t="s">
        <v>1053</v>
      </c>
      <c r="H369" s="10" t="s">
        <v>1041</v>
      </c>
      <c r="I369">
        <v>11</v>
      </c>
      <c r="K369" t="str">
        <f t="shared" si="5"/>
        <v/>
      </c>
      <c r="L369">
        <v>70</v>
      </c>
      <c r="M369">
        <v>3.3</v>
      </c>
      <c r="N369" t="b">
        <v>0</v>
      </c>
      <c r="P369" s="6">
        <v>0.78</v>
      </c>
      <c r="Q369" t="s">
        <v>1045</v>
      </c>
      <c r="R369" t="s">
        <v>1032</v>
      </c>
      <c r="S369">
        <v>15</v>
      </c>
      <c r="T369">
        <v>10</v>
      </c>
    </row>
    <row r="370" spans="1:20" x14ac:dyDescent="0.25">
      <c r="A370" t="s">
        <v>765</v>
      </c>
      <c r="B370" t="s">
        <v>1120</v>
      </c>
      <c r="C370" t="s">
        <v>1556</v>
      </c>
      <c r="E370" t="s">
        <v>1921</v>
      </c>
      <c r="G370" t="s">
        <v>1059</v>
      </c>
      <c r="H370" s="10" t="s">
        <v>1035</v>
      </c>
      <c r="I370">
        <v>10</v>
      </c>
      <c r="J370" t="s">
        <v>26</v>
      </c>
      <c r="K370" t="str">
        <f t="shared" si="5"/>
        <v>$40</v>
      </c>
      <c r="L370">
        <v>40</v>
      </c>
      <c r="M370">
        <v>4.3</v>
      </c>
      <c r="N370" t="b">
        <v>1</v>
      </c>
      <c r="O370">
        <v>0.63</v>
      </c>
      <c r="P370" s="6">
        <v>0.63</v>
      </c>
      <c r="Q370" t="s">
        <v>1046</v>
      </c>
      <c r="R370" t="s">
        <v>1025</v>
      </c>
      <c r="S370">
        <v>2</v>
      </c>
      <c r="T370">
        <v>4</v>
      </c>
    </row>
    <row r="371" spans="1:20" x14ac:dyDescent="0.25">
      <c r="A371" t="s">
        <v>767</v>
      </c>
      <c r="B371" t="s">
        <v>1531</v>
      </c>
      <c r="C371" t="s">
        <v>1168</v>
      </c>
      <c r="E371" t="s">
        <v>1697</v>
      </c>
      <c r="G371" t="s">
        <v>1058</v>
      </c>
      <c r="H371" s="10" t="s">
        <v>1035</v>
      </c>
      <c r="I371">
        <v>3</v>
      </c>
      <c r="J371" t="s">
        <v>82</v>
      </c>
      <c r="K371" t="str">
        <f t="shared" si="5"/>
        <v>$20</v>
      </c>
      <c r="L371">
        <v>20</v>
      </c>
      <c r="M371">
        <v>2.4</v>
      </c>
      <c r="N371" t="b">
        <v>0</v>
      </c>
      <c r="P371" s="6">
        <v>0.78</v>
      </c>
      <c r="Q371" t="s">
        <v>1038</v>
      </c>
      <c r="R371" t="s">
        <v>1032</v>
      </c>
      <c r="S371">
        <v>1</v>
      </c>
      <c r="T371">
        <v>2</v>
      </c>
    </row>
    <row r="372" spans="1:20" x14ac:dyDescent="0.25">
      <c r="A372" t="s">
        <v>769</v>
      </c>
      <c r="B372" t="s">
        <v>1133</v>
      </c>
      <c r="C372" t="s">
        <v>1557</v>
      </c>
      <c r="E372" t="s">
        <v>1922</v>
      </c>
      <c r="G372" t="s">
        <v>1022</v>
      </c>
      <c r="H372" s="10" t="s">
        <v>1041</v>
      </c>
      <c r="I372">
        <v>15</v>
      </c>
      <c r="J372" t="s">
        <v>34</v>
      </c>
      <c r="K372" t="str">
        <f t="shared" si="5"/>
        <v>USD 75</v>
      </c>
      <c r="L372">
        <v>75</v>
      </c>
      <c r="M372">
        <v>2.6</v>
      </c>
      <c r="N372" t="b">
        <v>0</v>
      </c>
      <c r="O372">
        <v>0.83</v>
      </c>
      <c r="P372" s="6">
        <v>0.83</v>
      </c>
      <c r="Q372" t="s">
        <v>1046</v>
      </c>
      <c r="R372" t="s">
        <v>1029</v>
      </c>
      <c r="S372">
        <v>13</v>
      </c>
      <c r="T372">
        <v>9</v>
      </c>
    </row>
    <row r="373" spans="1:20" x14ac:dyDescent="0.25">
      <c r="A373" t="s">
        <v>771</v>
      </c>
      <c r="B373" t="s">
        <v>1166</v>
      </c>
      <c r="C373" t="s">
        <v>1120</v>
      </c>
      <c r="E373" t="s">
        <v>1703</v>
      </c>
      <c r="G373" t="s">
        <v>1048</v>
      </c>
      <c r="H373" s="10" t="s">
        <v>1031</v>
      </c>
      <c r="I373">
        <v>12</v>
      </c>
      <c r="J373" t="s">
        <v>262</v>
      </c>
      <c r="K373" t="str">
        <f t="shared" si="5"/>
        <v>USD 20</v>
      </c>
      <c r="L373">
        <v>20</v>
      </c>
      <c r="M373">
        <v>4.0999999999999996</v>
      </c>
      <c r="N373" t="b">
        <v>0</v>
      </c>
      <c r="O373">
        <v>0.94</v>
      </c>
      <c r="P373" s="6">
        <v>0.94</v>
      </c>
      <c r="Q373" t="s">
        <v>1046</v>
      </c>
      <c r="R373" t="s">
        <v>1042</v>
      </c>
      <c r="S373">
        <v>8</v>
      </c>
      <c r="T373">
        <v>5</v>
      </c>
    </row>
    <row r="374" spans="1:20" x14ac:dyDescent="0.25">
      <c r="A374" t="s">
        <v>773</v>
      </c>
      <c r="B374" t="s">
        <v>1346</v>
      </c>
      <c r="C374" t="s">
        <v>1558</v>
      </c>
      <c r="E374" t="s">
        <v>1923</v>
      </c>
      <c r="G374" t="s">
        <v>1056</v>
      </c>
      <c r="H374" s="10" t="s">
        <v>1041</v>
      </c>
      <c r="I374">
        <v>19</v>
      </c>
      <c r="J374" t="s">
        <v>26</v>
      </c>
      <c r="K374" t="str">
        <f t="shared" si="5"/>
        <v>$40</v>
      </c>
      <c r="L374">
        <v>40</v>
      </c>
      <c r="M374">
        <v>2.2000000000000002</v>
      </c>
      <c r="N374" t="b">
        <v>1</v>
      </c>
      <c r="O374">
        <v>0.78</v>
      </c>
      <c r="P374" s="6">
        <v>0.78</v>
      </c>
      <c r="Q374" t="s">
        <v>1038</v>
      </c>
      <c r="R374" t="s">
        <v>1042</v>
      </c>
      <c r="S374">
        <v>10</v>
      </c>
      <c r="T374">
        <v>14</v>
      </c>
    </row>
    <row r="375" spans="1:20" x14ac:dyDescent="0.25">
      <c r="A375" t="s">
        <v>775</v>
      </c>
      <c r="B375" t="s">
        <v>1421</v>
      </c>
      <c r="C375" t="s">
        <v>1149</v>
      </c>
      <c r="E375" t="s">
        <v>1687</v>
      </c>
      <c r="G375" t="s">
        <v>1037</v>
      </c>
      <c r="H375" s="10" t="s">
        <v>1041</v>
      </c>
      <c r="I375">
        <v>13</v>
      </c>
      <c r="J375">
        <v>30</v>
      </c>
      <c r="K375" t="str">
        <f t="shared" si="5"/>
        <v>30</v>
      </c>
      <c r="L375">
        <v>30</v>
      </c>
      <c r="M375">
        <v>1.1000000000000001</v>
      </c>
      <c r="N375" t="b">
        <v>1</v>
      </c>
      <c r="P375" s="6">
        <v>0.78</v>
      </c>
      <c r="Q375" t="s">
        <v>1038</v>
      </c>
      <c r="R375" t="s">
        <v>1025</v>
      </c>
      <c r="S375">
        <v>8</v>
      </c>
      <c r="T375">
        <v>4</v>
      </c>
    </row>
    <row r="376" spans="1:20" x14ac:dyDescent="0.25">
      <c r="A376" t="s">
        <v>777</v>
      </c>
      <c r="B376" t="s">
        <v>1559</v>
      </c>
      <c r="C376" t="s">
        <v>1099</v>
      </c>
      <c r="E376" t="s">
        <v>1662</v>
      </c>
      <c r="G376" t="s">
        <v>1048</v>
      </c>
      <c r="H376" s="10" t="s">
        <v>1023</v>
      </c>
      <c r="I376">
        <v>10</v>
      </c>
      <c r="J376" t="s">
        <v>44</v>
      </c>
      <c r="K376" t="str">
        <f t="shared" si="5"/>
        <v>$50</v>
      </c>
      <c r="L376">
        <v>50</v>
      </c>
      <c r="M376">
        <v>2.1</v>
      </c>
      <c r="N376" t="b">
        <v>1</v>
      </c>
      <c r="O376">
        <v>0.82</v>
      </c>
      <c r="P376" s="6">
        <v>0.82</v>
      </c>
      <c r="Q376" t="s">
        <v>1038</v>
      </c>
      <c r="R376" t="s">
        <v>1032</v>
      </c>
      <c r="S376">
        <v>1</v>
      </c>
      <c r="T376">
        <v>1</v>
      </c>
    </row>
    <row r="377" spans="1:20" x14ac:dyDescent="0.25">
      <c r="A377" t="s">
        <v>779</v>
      </c>
      <c r="B377" t="s">
        <v>1275</v>
      </c>
      <c r="C377" t="s">
        <v>1560</v>
      </c>
      <c r="E377" t="s">
        <v>1924</v>
      </c>
      <c r="G377" t="s">
        <v>1030</v>
      </c>
      <c r="H377" s="10" t="s">
        <v>1050</v>
      </c>
      <c r="I377">
        <v>3</v>
      </c>
      <c r="J377" t="s">
        <v>31</v>
      </c>
      <c r="K377" t="str">
        <f t="shared" si="5"/>
        <v>$30</v>
      </c>
      <c r="L377">
        <v>30</v>
      </c>
      <c r="M377">
        <v>2.2999999999999998</v>
      </c>
      <c r="N377" t="b">
        <v>0</v>
      </c>
      <c r="O377">
        <v>0.66</v>
      </c>
      <c r="P377" s="6">
        <v>0.66</v>
      </c>
      <c r="Q377" t="s">
        <v>1024</v>
      </c>
      <c r="R377" t="s">
        <v>1032</v>
      </c>
      <c r="S377">
        <v>4</v>
      </c>
      <c r="T377">
        <v>5</v>
      </c>
    </row>
    <row r="378" spans="1:20" x14ac:dyDescent="0.25">
      <c r="A378" t="s">
        <v>781</v>
      </c>
      <c r="B378" t="s">
        <v>1335</v>
      </c>
      <c r="C378" t="s">
        <v>1556</v>
      </c>
      <c r="E378" t="s">
        <v>1921</v>
      </c>
      <c r="G378" t="s">
        <v>1027</v>
      </c>
      <c r="H378" s="10" t="s">
        <v>1031</v>
      </c>
      <c r="I378">
        <v>26</v>
      </c>
      <c r="K378" t="str">
        <f t="shared" si="5"/>
        <v/>
      </c>
      <c r="L378">
        <v>70</v>
      </c>
      <c r="M378">
        <v>3.6</v>
      </c>
      <c r="N378" t="b">
        <v>1</v>
      </c>
      <c r="O378">
        <v>82</v>
      </c>
      <c r="P378" s="6">
        <v>0.82</v>
      </c>
      <c r="Q378" t="s">
        <v>1038</v>
      </c>
      <c r="R378" t="s">
        <v>1025</v>
      </c>
      <c r="S378">
        <v>11</v>
      </c>
      <c r="T378">
        <v>9</v>
      </c>
    </row>
    <row r="379" spans="1:20" x14ac:dyDescent="0.25">
      <c r="A379" t="s">
        <v>783</v>
      </c>
      <c r="B379" t="s">
        <v>1478</v>
      </c>
      <c r="C379" t="s">
        <v>1168</v>
      </c>
      <c r="E379" t="s">
        <v>1697</v>
      </c>
      <c r="G379" t="s">
        <v>1030</v>
      </c>
      <c r="H379" s="10" t="s">
        <v>1035</v>
      </c>
      <c r="I379">
        <v>4</v>
      </c>
      <c r="J379" t="s">
        <v>262</v>
      </c>
      <c r="K379" t="str">
        <f t="shared" si="5"/>
        <v>USD 20</v>
      </c>
      <c r="L379">
        <v>20</v>
      </c>
      <c r="M379">
        <v>4.7</v>
      </c>
      <c r="N379" t="b">
        <v>1</v>
      </c>
      <c r="O379">
        <v>0.84</v>
      </c>
      <c r="P379" s="6">
        <v>0.84</v>
      </c>
      <c r="Q379" t="s">
        <v>1038</v>
      </c>
      <c r="R379" t="s">
        <v>1032</v>
      </c>
      <c r="S379">
        <v>4</v>
      </c>
      <c r="T379">
        <v>4</v>
      </c>
    </row>
    <row r="380" spans="1:20" x14ac:dyDescent="0.25">
      <c r="A380" t="s">
        <v>785</v>
      </c>
      <c r="B380" t="s">
        <v>1243</v>
      </c>
      <c r="C380" t="s">
        <v>1514</v>
      </c>
      <c r="E380" t="s">
        <v>1896</v>
      </c>
      <c r="G380" t="s">
        <v>1027</v>
      </c>
      <c r="H380" s="10" t="s">
        <v>1050</v>
      </c>
      <c r="I380">
        <v>8</v>
      </c>
      <c r="J380">
        <v>20</v>
      </c>
      <c r="K380" t="str">
        <f t="shared" si="5"/>
        <v>20</v>
      </c>
      <c r="L380">
        <v>20</v>
      </c>
      <c r="M380">
        <v>4.8</v>
      </c>
      <c r="N380" t="b">
        <v>0</v>
      </c>
      <c r="O380">
        <v>0.81</v>
      </c>
      <c r="P380" s="6">
        <v>0.81</v>
      </c>
      <c r="Q380" t="s">
        <v>1038</v>
      </c>
      <c r="R380" t="s">
        <v>1029</v>
      </c>
      <c r="S380">
        <v>6</v>
      </c>
      <c r="T380">
        <v>8</v>
      </c>
    </row>
    <row r="381" spans="1:20" x14ac:dyDescent="0.25">
      <c r="A381" t="s">
        <v>787</v>
      </c>
      <c r="B381" t="s">
        <v>1353</v>
      </c>
      <c r="C381" t="s">
        <v>1235</v>
      </c>
      <c r="E381" t="s">
        <v>1731</v>
      </c>
      <c r="G381" t="s">
        <v>1068</v>
      </c>
      <c r="H381" s="10" t="s">
        <v>30</v>
      </c>
      <c r="I381">
        <v>10</v>
      </c>
      <c r="J381">
        <v>75</v>
      </c>
      <c r="K381" t="str">
        <f t="shared" si="5"/>
        <v>75</v>
      </c>
      <c r="L381">
        <v>75</v>
      </c>
      <c r="M381">
        <v>4.2</v>
      </c>
      <c r="N381" t="b">
        <v>0</v>
      </c>
      <c r="O381">
        <v>71</v>
      </c>
      <c r="P381" s="6">
        <v>0.71</v>
      </c>
      <c r="Q381" t="s">
        <v>1038</v>
      </c>
      <c r="R381" t="s">
        <v>1042</v>
      </c>
      <c r="S381">
        <v>7</v>
      </c>
      <c r="T381">
        <v>5</v>
      </c>
    </row>
    <row r="382" spans="1:20" x14ac:dyDescent="0.25">
      <c r="A382" t="s">
        <v>789</v>
      </c>
      <c r="B382" t="s">
        <v>1561</v>
      </c>
      <c r="C382" t="s">
        <v>1468</v>
      </c>
      <c r="E382" t="s">
        <v>1925</v>
      </c>
      <c r="G382" t="s">
        <v>1022</v>
      </c>
      <c r="H382" s="10" t="s">
        <v>1035</v>
      </c>
      <c r="I382">
        <v>5</v>
      </c>
      <c r="K382" t="str">
        <f t="shared" si="5"/>
        <v/>
      </c>
      <c r="L382">
        <v>70</v>
      </c>
      <c r="M382">
        <v>4.8</v>
      </c>
      <c r="N382" t="b">
        <v>1</v>
      </c>
      <c r="O382">
        <v>0.61</v>
      </c>
      <c r="P382" s="6">
        <v>0.61</v>
      </c>
      <c r="Q382" t="s">
        <v>1045</v>
      </c>
      <c r="R382" t="s">
        <v>1025</v>
      </c>
      <c r="S382">
        <v>2</v>
      </c>
      <c r="T382">
        <v>1</v>
      </c>
    </row>
    <row r="383" spans="1:20" x14ac:dyDescent="0.25">
      <c r="A383" t="s">
        <v>791</v>
      </c>
      <c r="B383" t="s">
        <v>1125</v>
      </c>
      <c r="C383" t="s">
        <v>1562</v>
      </c>
      <c r="E383" t="s">
        <v>1926</v>
      </c>
      <c r="G383" t="s">
        <v>1048</v>
      </c>
      <c r="H383" s="10" t="s">
        <v>1023</v>
      </c>
      <c r="I383">
        <v>18</v>
      </c>
      <c r="J383">
        <v>75</v>
      </c>
      <c r="K383" t="str">
        <f t="shared" si="5"/>
        <v>75</v>
      </c>
      <c r="L383">
        <v>75</v>
      </c>
      <c r="M383">
        <v>4</v>
      </c>
      <c r="N383" t="b">
        <v>1</v>
      </c>
      <c r="O383">
        <v>0.66</v>
      </c>
      <c r="P383" s="6">
        <v>0.66</v>
      </c>
      <c r="Q383" t="s">
        <v>1024</v>
      </c>
      <c r="R383" t="s">
        <v>1025</v>
      </c>
      <c r="S383">
        <v>10</v>
      </c>
      <c r="T383">
        <v>8</v>
      </c>
    </row>
    <row r="384" spans="1:20" x14ac:dyDescent="0.25">
      <c r="A384" t="s">
        <v>793</v>
      </c>
      <c r="B384" t="s">
        <v>1087</v>
      </c>
      <c r="C384" t="s">
        <v>1563</v>
      </c>
      <c r="E384" t="s">
        <v>1927</v>
      </c>
      <c r="G384" t="s">
        <v>1066</v>
      </c>
      <c r="H384" s="10" t="s">
        <v>1041</v>
      </c>
      <c r="I384">
        <v>10</v>
      </c>
      <c r="J384" t="s">
        <v>82</v>
      </c>
      <c r="K384" t="str">
        <f t="shared" si="5"/>
        <v>$20</v>
      </c>
      <c r="L384">
        <v>20</v>
      </c>
      <c r="M384">
        <v>2.4</v>
      </c>
      <c r="N384" t="b">
        <v>1</v>
      </c>
      <c r="O384">
        <v>0.97</v>
      </c>
      <c r="P384" s="6">
        <v>0.97</v>
      </c>
      <c r="Q384" t="s">
        <v>1046</v>
      </c>
      <c r="R384" t="s">
        <v>1032</v>
      </c>
      <c r="S384">
        <v>13</v>
      </c>
      <c r="T384">
        <v>2</v>
      </c>
    </row>
    <row r="385" spans="1:20" x14ac:dyDescent="0.25">
      <c r="A385" t="s">
        <v>795</v>
      </c>
      <c r="B385" t="s">
        <v>1564</v>
      </c>
      <c r="C385" t="s">
        <v>1565</v>
      </c>
      <c r="E385" t="s">
        <v>1928</v>
      </c>
      <c r="G385" t="s">
        <v>1027</v>
      </c>
      <c r="H385" s="10" t="s">
        <v>1049</v>
      </c>
      <c r="I385">
        <v>0</v>
      </c>
      <c r="J385" t="s">
        <v>262</v>
      </c>
      <c r="K385" t="str">
        <f t="shared" si="5"/>
        <v>USD 20</v>
      </c>
      <c r="L385">
        <v>20</v>
      </c>
      <c r="M385">
        <v>4.8</v>
      </c>
      <c r="N385" t="b">
        <v>0</v>
      </c>
      <c r="O385">
        <v>0.74</v>
      </c>
      <c r="P385" s="6">
        <v>0.74</v>
      </c>
      <c r="Q385" t="s">
        <v>1038</v>
      </c>
      <c r="R385" t="s">
        <v>1025</v>
      </c>
      <c r="S385">
        <v>2</v>
      </c>
      <c r="T385">
        <v>1</v>
      </c>
    </row>
    <row r="386" spans="1:20" x14ac:dyDescent="0.25">
      <c r="A386" t="s">
        <v>797</v>
      </c>
      <c r="B386" t="s">
        <v>1566</v>
      </c>
      <c r="C386" t="s">
        <v>1567</v>
      </c>
      <c r="E386" t="s">
        <v>1929</v>
      </c>
      <c r="G386" t="s">
        <v>1048</v>
      </c>
      <c r="H386" s="10" t="s">
        <v>1023</v>
      </c>
      <c r="I386">
        <v>21</v>
      </c>
      <c r="J386">
        <v>30</v>
      </c>
      <c r="K386" t="str">
        <f t="shared" ref="K386:K449" si="6">TRIM(J386)</f>
        <v>30</v>
      </c>
      <c r="L386">
        <v>30</v>
      </c>
      <c r="M386">
        <v>4.7</v>
      </c>
      <c r="N386" t="b">
        <v>0</v>
      </c>
      <c r="O386">
        <v>0.61</v>
      </c>
      <c r="P386" s="6">
        <v>0.61</v>
      </c>
      <c r="Q386" t="s">
        <v>1045</v>
      </c>
      <c r="R386" t="s">
        <v>1029</v>
      </c>
      <c r="S386">
        <v>15</v>
      </c>
      <c r="T386">
        <v>6</v>
      </c>
    </row>
    <row r="387" spans="1:20" x14ac:dyDescent="0.25">
      <c r="A387" t="s">
        <v>799</v>
      </c>
      <c r="B387" t="s">
        <v>1100</v>
      </c>
      <c r="C387" t="s">
        <v>1525</v>
      </c>
      <c r="E387" t="s">
        <v>1903</v>
      </c>
      <c r="G387" t="s">
        <v>1066</v>
      </c>
      <c r="H387" s="10" t="s">
        <v>1023</v>
      </c>
      <c r="I387">
        <v>25</v>
      </c>
      <c r="J387">
        <v>20</v>
      </c>
      <c r="K387" t="str">
        <f t="shared" si="6"/>
        <v>20</v>
      </c>
      <c r="L387">
        <v>20</v>
      </c>
      <c r="M387">
        <v>4</v>
      </c>
      <c r="N387" t="b">
        <v>0</v>
      </c>
      <c r="O387">
        <v>0.9</v>
      </c>
      <c r="P387" s="6">
        <v>0.9</v>
      </c>
      <c r="Q387" t="s">
        <v>1045</v>
      </c>
      <c r="R387" t="s">
        <v>1032</v>
      </c>
      <c r="S387">
        <v>15</v>
      </c>
      <c r="T387">
        <v>9</v>
      </c>
    </row>
    <row r="388" spans="1:20" x14ac:dyDescent="0.25">
      <c r="A388" t="s">
        <v>801</v>
      </c>
      <c r="B388" t="s">
        <v>1249</v>
      </c>
      <c r="C388" t="s">
        <v>1168</v>
      </c>
      <c r="E388" t="s">
        <v>1697</v>
      </c>
      <c r="G388" t="s">
        <v>1037</v>
      </c>
      <c r="H388" s="10" t="s">
        <v>1054</v>
      </c>
      <c r="I388">
        <v>0</v>
      </c>
      <c r="J388" t="s">
        <v>26</v>
      </c>
      <c r="K388" t="str">
        <f t="shared" si="6"/>
        <v>$40</v>
      </c>
      <c r="L388">
        <v>40</v>
      </c>
      <c r="M388">
        <v>4.0999999999999996</v>
      </c>
      <c r="N388" t="b">
        <v>1</v>
      </c>
      <c r="O388">
        <v>0.97</v>
      </c>
      <c r="P388" s="6">
        <v>0.97</v>
      </c>
      <c r="Q388" t="s">
        <v>1045</v>
      </c>
      <c r="R388" t="s">
        <v>1032</v>
      </c>
      <c r="S388">
        <v>4</v>
      </c>
      <c r="T388">
        <v>1</v>
      </c>
    </row>
    <row r="389" spans="1:20" x14ac:dyDescent="0.25">
      <c r="A389" t="s">
        <v>803</v>
      </c>
      <c r="B389" t="s">
        <v>1437</v>
      </c>
      <c r="C389" t="s">
        <v>1568</v>
      </c>
      <c r="E389" t="s">
        <v>1930</v>
      </c>
      <c r="G389" t="s">
        <v>1027</v>
      </c>
      <c r="H389" s="10" t="s">
        <v>1054</v>
      </c>
      <c r="I389">
        <v>5</v>
      </c>
      <c r="J389">
        <v>100</v>
      </c>
      <c r="K389" t="str">
        <f t="shared" si="6"/>
        <v>100</v>
      </c>
      <c r="L389">
        <v>100</v>
      </c>
      <c r="M389">
        <v>3.2</v>
      </c>
      <c r="N389" t="b">
        <v>1</v>
      </c>
      <c r="P389" s="6">
        <v>0.78</v>
      </c>
      <c r="Q389" t="s">
        <v>1046</v>
      </c>
      <c r="R389" t="s">
        <v>1032</v>
      </c>
      <c r="S389">
        <v>5</v>
      </c>
      <c r="T389">
        <v>5</v>
      </c>
    </row>
    <row r="390" spans="1:20" x14ac:dyDescent="0.25">
      <c r="A390" t="s">
        <v>805</v>
      </c>
      <c r="B390" t="s">
        <v>1106</v>
      </c>
      <c r="C390" t="s">
        <v>1569</v>
      </c>
      <c r="E390" t="s">
        <v>1931</v>
      </c>
      <c r="G390" t="s">
        <v>1066</v>
      </c>
      <c r="H390" s="10" t="s">
        <v>1033</v>
      </c>
      <c r="I390">
        <v>1</v>
      </c>
      <c r="J390">
        <v>20</v>
      </c>
      <c r="K390" t="str">
        <f t="shared" si="6"/>
        <v>20</v>
      </c>
      <c r="L390">
        <v>20</v>
      </c>
      <c r="M390">
        <v>4.3</v>
      </c>
      <c r="N390" t="b">
        <v>0</v>
      </c>
      <c r="O390">
        <v>0.76</v>
      </c>
      <c r="P390" s="6">
        <v>0.76</v>
      </c>
      <c r="Q390" t="s">
        <v>1038</v>
      </c>
      <c r="R390" t="s">
        <v>1032</v>
      </c>
      <c r="S390">
        <v>4</v>
      </c>
      <c r="T390">
        <v>3</v>
      </c>
    </row>
    <row r="391" spans="1:20" x14ac:dyDescent="0.25">
      <c r="A391" t="s">
        <v>807</v>
      </c>
      <c r="B391" t="s">
        <v>1292</v>
      </c>
      <c r="C391" t="s">
        <v>1362</v>
      </c>
      <c r="E391" t="s">
        <v>1800</v>
      </c>
      <c r="G391" t="s">
        <v>1070</v>
      </c>
      <c r="H391" s="10" t="s">
        <v>1050</v>
      </c>
      <c r="I391">
        <v>4</v>
      </c>
      <c r="J391">
        <v>40</v>
      </c>
      <c r="K391" t="str">
        <f t="shared" si="6"/>
        <v>40</v>
      </c>
      <c r="L391">
        <v>40</v>
      </c>
      <c r="M391">
        <v>4.4000000000000004</v>
      </c>
      <c r="N391" t="b">
        <v>0</v>
      </c>
      <c r="O391">
        <v>0.92</v>
      </c>
      <c r="P391" s="6">
        <v>0.92</v>
      </c>
      <c r="Q391" t="s">
        <v>1024</v>
      </c>
      <c r="R391" t="s">
        <v>1029</v>
      </c>
      <c r="S391">
        <v>4</v>
      </c>
      <c r="T391">
        <v>4</v>
      </c>
    </row>
    <row r="392" spans="1:20" x14ac:dyDescent="0.25">
      <c r="A392" t="s">
        <v>809</v>
      </c>
      <c r="B392" t="s">
        <v>1570</v>
      </c>
      <c r="C392" t="s">
        <v>1397</v>
      </c>
      <c r="E392" t="s">
        <v>1820</v>
      </c>
      <c r="G392" t="s">
        <v>1068</v>
      </c>
      <c r="H392" s="10" t="s">
        <v>1041</v>
      </c>
      <c r="I392">
        <v>21</v>
      </c>
      <c r="J392">
        <v>40</v>
      </c>
      <c r="K392" t="str">
        <f t="shared" si="6"/>
        <v>40</v>
      </c>
      <c r="L392">
        <v>40</v>
      </c>
      <c r="M392">
        <v>2.2999999999999998</v>
      </c>
      <c r="N392" t="b">
        <v>0</v>
      </c>
      <c r="P392" s="6">
        <v>0.78</v>
      </c>
      <c r="Q392" t="s">
        <v>1024</v>
      </c>
      <c r="R392" t="s">
        <v>1032</v>
      </c>
      <c r="S392">
        <v>14</v>
      </c>
      <c r="T392">
        <v>10</v>
      </c>
    </row>
    <row r="393" spans="1:20" x14ac:dyDescent="0.25">
      <c r="A393" t="s">
        <v>811</v>
      </c>
      <c r="B393" t="s">
        <v>1571</v>
      </c>
      <c r="C393" t="s">
        <v>1428</v>
      </c>
      <c r="E393" t="s">
        <v>1838</v>
      </c>
      <c r="G393" t="s">
        <v>1068</v>
      </c>
      <c r="H393" s="10" t="s">
        <v>30</v>
      </c>
      <c r="I393">
        <v>1</v>
      </c>
      <c r="J393" t="s">
        <v>82</v>
      </c>
      <c r="K393" t="str">
        <f t="shared" si="6"/>
        <v>$20</v>
      </c>
      <c r="L393">
        <v>20</v>
      </c>
      <c r="M393">
        <v>2.4</v>
      </c>
      <c r="N393" t="b">
        <v>1</v>
      </c>
      <c r="O393">
        <v>0.66</v>
      </c>
      <c r="P393" s="6">
        <v>0.66</v>
      </c>
      <c r="Q393" t="s">
        <v>1045</v>
      </c>
      <c r="R393" t="s">
        <v>1025</v>
      </c>
      <c r="S393">
        <v>4</v>
      </c>
      <c r="T393">
        <v>4</v>
      </c>
    </row>
    <row r="394" spans="1:20" x14ac:dyDescent="0.25">
      <c r="A394" t="s">
        <v>813</v>
      </c>
      <c r="B394" t="s">
        <v>1311</v>
      </c>
      <c r="C394" t="s">
        <v>1408</v>
      </c>
      <c r="E394" t="s">
        <v>1827</v>
      </c>
      <c r="G394" t="s">
        <v>1022</v>
      </c>
      <c r="H394" s="10" t="s">
        <v>1054</v>
      </c>
      <c r="I394">
        <v>10</v>
      </c>
      <c r="J394">
        <v>50</v>
      </c>
      <c r="K394" t="str">
        <f t="shared" si="6"/>
        <v>50</v>
      </c>
      <c r="L394">
        <v>50</v>
      </c>
      <c r="M394">
        <v>4.5999999999999996</v>
      </c>
      <c r="N394" t="b">
        <v>0</v>
      </c>
      <c r="O394">
        <v>0.83</v>
      </c>
      <c r="P394" s="6">
        <v>0.83</v>
      </c>
      <c r="Q394" t="s">
        <v>1046</v>
      </c>
      <c r="R394" t="s">
        <v>1029</v>
      </c>
      <c r="S394">
        <v>1</v>
      </c>
      <c r="T394">
        <v>1</v>
      </c>
    </row>
    <row r="395" spans="1:20" x14ac:dyDescent="0.25">
      <c r="A395" t="s">
        <v>815</v>
      </c>
      <c r="B395" t="s">
        <v>1270</v>
      </c>
      <c r="C395" t="s">
        <v>1572</v>
      </c>
      <c r="E395" t="s">
        <v>1932</v>
      </c>
      <c r="G395" t="s">
        <v>1030</v>
      </c>
      <c r="H395" s="10" t="s">
        <v>1049</v>
      </c>
      <c r="I395">
        <v>10</v>
      </c>
      <c r="J395">
        <v>50</v>
      </c>
      <c r="K395" t="str">
        <f t="shared" si="6"/>
        <v>50</v>
      </c>
      <c r="L395">
        <v>50</v>
      </c>
      <c r="M395">
        <v>0</v>
      </c>
      <c r="N395" t="s">
        <v>111</v>
      </c>
      <c r="P395" s="6">
        <v>0.78</v>
      </c>
      <c r="Q395" t="s">
        <v>1046</v>
      </c>
      <c r="R395" t="s">
        <v>1042</v>
      </c>
      <c r="S395">
        <v>10</v>
      </c>
      <c r="T395">
        <v>4</v>
      </c>
    </row>
    <row r="396" spans="1:20" x14ac:dyDescent="0.25">
      <c r="A396" t="s">
        <v>817</v>
      </c>
      <c r="B396" t="s">
        <v>1142</v>
      </c>
      <c r="C396" t="s">
        <v>1332</v>
      </c>
      <c r="E396" t="s">
        <v>1783</v>
      </c>
      <c r="G396" t="s">
        <v>1066</v>
      </c>
      <c r="H396" s="10" t="s">
        <v>1023</v>
      </c>
      <c r="I396">
        <v>21</v>
      </c>
      <c r="K396" t="str">
        <f t="shared" si="6"/>
        <v/>
      </c>
      <c r="L396">
        <v>70</v>
      </c>
      <c r="M396">
        <v>0</v>
      </c>
      <c r="N396" t="b">
        <v>1</v>
      </c>
      <c r="P396" s="6">
        <v>0.78</v>
      </c>
      <c r="Q396" t="s">
        <v>1046</v>
      </c>
      <c r="R396" t="s">
        <v>1042</v>
      </c>
      <c r="S396">
        <v>10</v>
      </c>
      <c r="T396">
        <v>9</v>
      </c>
    </row>
    <row r="397" spans="1:20" x14ac:dyDescent="0.25">
      <c r="A397" t="s">
        <v>819</v>
      </c>
      <c r="B397" t="s">
        <v>1353</v>
      </c>
      <c r="C397" t="s">
        <v>1573</v>
      </c>
      <c r="D397" t="s">
        <v>1289</v>
      </c>
      <c r="E397" t="s">
        <v>1933</v>
      </c>
      <c r="G397" t="s">
        <v>1061</v>
      </c>
      <c r="H397" s="10" t="s">
        <v>1050</v>
      </c>
      <c r="I397">
        <v>0</v>
      </c>
      <c r="J397" t="s">
        <v>82</v>
      </c>
      <c r="K397" t="str">
        <f t="shared" si="6"/>
        <v>$20</v>
      </c>
      <c r="L397">
        <v>20</v>
      </c>
      <c r="M397">
        <v>4.2</v>
      </c>
      <c r="N397" t="b">
        <v>1</v>
      </c>
      <c r="O397">
        <v>82</v>
      </c>
      <c r="P397" s="6">
        <v>0.82</v>
      </c>
      <c r="Q397" t="s">
        <v>1024</v>
      </c>
      <c r="R397" t="s">
        <v>1025</v>
      </c>
      <c r="S397">
        <v>5</v>
      </c>
      <c r="T397">
        <v>1</v>
      </c>
    </row>
    <row r="398" spans="1:20" x14ac:dyDescent="0.25">
      <c r="A398" t="s">
        <v>820</v>
      </c>
      <c r="B398" t="s">
        <v>1574</v>
      </c>
      <c r="C398" t="s">
        <v>1575</v>
      </c>
      <c r="E398" t="s">
        <v>1934</v>
      </c>
      <c r="G398" t="s">
        <v>1048</v>
      </c>
      <c r="H398" s="10" t="s">
        <v>1041</v>
      </c>
      <c r="I398">
        <v>0</v>
      </c>
      <c r="J398">
        <v>50</v>
      </c>
      <c r="K398" t="str">
        <f t="shared" si="6"/>
        <v>50</v>
      </c>
      <c r="L398">
        <v>50</v>
      </c>
      <c r="M398">
        <v>2.2999999999999998</v>
      </c>
      <c r="N398" t="b">
        <v>0</v>
      </c>
      <c r="O398">
        <v>0.77</v>
      </c>
      <c r="P398" s="6">
        <v>0.77</v>
      </c>
      <c r="Q398" t="s">
        <v>1045</v>
      </c>
      <c r="R398" t="s">
        <v>1025</v>
      </c>
      <c r="S398">
        <v>5</v>
      </c>
      <c r="T398">
        <v>2</v>
      </c>
    </row>
    <row r="399" spans="1:20" x14ac:dyDescent="0.25">
      <c r="A399" t="s">
        <v>822</v>
      </c>
      <c r="B399" t="s">
        <v>1086</v>
      </c>
      <c r="C399" t="s">
        <v>1198</v>
      </c>
      <c r="D399" t="s">
        <v>1126</v>
      </c>
      <c r="E399" t="s">
        <v>1935</v>
      </c>
      <c r="G399" t="s">
        <v>1037</v>
      </c>
      <c r="H399" s="10" t="s">
        <v>1041</v>
      </c>
      <c r="I399">
        <v>17</v>
      </c>
      <c r="J399" t="s">
        <v>44</v>
      </c>
      <c r="K399" t="str">
        <f t="shared" si="6"/>
        <v>$50</v>
      </c>
      <c r="L399">
        <v>50</v>
      </c>
      <c r="M399">
        <v>4.7</v>
      </c>
      <c r="N399" t="b">
        <v>1</v>
      </c>
      <c r="O399">
        <v>0.73</v>
      </c>
      <c r="P399" s="6">
        <v>0.73</v>
      </c>
      <c r="Q399" t="s">
        <v>1038</v>
      </c>
      <c r="R399" t="s">
        <v>1029</v>
      </c>
      <c r="S399">
        <v>15</v>
      </c>
      <c r="T399">
        <v>11</v>
      </c>
    </row>
    <row r="400" spans="1:20" x14ac:dyDescent="0.25">
      <c r="A400" t="s">
        <v>824</v>
      </c>
      <c r="B400" t="s">
        <v>1432</v>
      </c>
      <c r="C400" t="s">
        <v>1193</v>
      </c>
      <c r="E400" t="s">
        <v>1711</v>
      </c>
      <c r="G400" t="s">
        <v>1059</v>
      </c>
      <c r="H400" s="10" t="s">
        <v>1050</v>
      </c>
      <c r="I400">
        <v>5</v>
      </c>
      <c r="K400" t="str">
        <f t="shared" si="6"/>
        <v/>
      </c>
      <c r="L400">
        <v>70</v>
      </c>
      <c r="M400">
        <v>3</v>
      </c>
      <c r="N400" t="b">
        <v>1</v>
      </c>
      <c r="O400">
        <v>0.88</v>
      </c>
      <c r="P400" s="6">
        <v>0.88</v>
      </c>
      <c r="Q400" t="s">
        <v>1024</v>
      </c>
      <c r="R400" t="s">
        <v>1042</v>
      </c>
      <c r="S400">
        <v>2</v>
      </c>
      <c r="T400">
        <v>4</v>
      </c>
    </row>
    <row r="401" spans="1:20" x14ac:dyDescent="0.25">
      <c r="A401" t="s">
        <v>826</v>
      </c>
      <c r="B401" t="s">
        <v>1463</v>
      </c>
      <c r="C401" t="s">
        <v>1256</v>
      </c>
      <c r="D401" t="s">
        <v>1576</v>
      </c>
      <c r="E401" t="s">
        <v>1936</v>
      </c>
      <c r="G401" t="s">
        <v>1027</v>
      </c>
      <c r="H401" s="10" t="s">
        <v>1049</v>
      </c>
      <c r="I401">
        <v>3</v>
      </c>
      <c r="J401" t="s">
        <v>73</v>
      </c>
      <c r="K401" t="str">
        <f t="shared" si="6"/>
        <v>USD 30</v>
      </c>
      <c r="L401">
        <v>30</v>
      </c>
      <c r="M401">
        <v>2.4</v>
      </c>
      <c r="N401" t="b">
        <v>0</v>
      </c>
      <c r="O401">
        <v>0.81</v>
      </c>
      <c r="P401" s="6">
        <v>0.81</v>
      </c>
      <c r="Q401" t="s">
        <v>1045</v>
      </c>
      <c r="R401" t="s">
        <v>1042</v>
      </c>
      <c r="S401">
        <v>2</v>
      </c>
      <c r="T401">
        <v>3</v>
      </c>
    </row>
    <row r="402" spans="1:20" x14ac:dyDescent="0.25">
      <c r="A402" t="s">
        <v>828</v>
      </c>
      <c r="B402" t="s">
        <v>1577</v>
      </c>
      <c r="C402" t="s">
        <v>1578</v>
      </c>
      <c r="E402" t="s">
        <v>1937</v>
      </c>
      <c r="G402" t="s">
        <v>1061</v>
      </c>
      <c r="H402" s="10" t="s">
        <v>1041</v>
      </c>
      <c r="I402">
        <v>1</v>
      </c>
      <c r="J402">
        <v>20</v>
      </c>
      <c r="K402" t="str">
        <f t="shared" si="6"/>
        <v>20</v>
      </c>
      <c r="L402">
        <v>20</v>
      </c>
      <c r="M402">
        <v>1.7</v>
      </c>
      <c r="N402" t="b">
        <v>0</v>
      </c>
      <c r="O402">
        <v>0.78</v>
      </c>
      <c r="P402" s="6">
        <v>0.78</v>
      </c>
      <c r="Q402" t="s">
        <v>1045</v>
      </c>
      <c r="R402" t="s">
        <v>1042</v>
      </c>
      <c r="S402">
        <v>1</v>
      </c>
      <c r="T402">
        <v>2</v>
      </c>
    </row>
    <row r="403" spans="1:20" x14ac:dyDescent="0.25">
      <c r="A403" t="s">
        <v>830</v>
      </c>
      <c r="B403" t="s">
        <v>1579</v>
      </c>
      <c r="C403" t="s">
        <v>1400</v>
      </c>
      <c r="E403" t="s">
        <v>1938</v>
      </c>
      <c r="G403" t="s">
        <v>1044</v>
      </c>
      <c r="H403" s="10" t="s">
        <v>1050</v>
      </c>
      <c r="I403">
        <v>2</v>
      </c>
      <c r="J403">
        <v>75</v>
      </c>
      <c r="K403" t="str">
        <f t="shared" si="6"/>
        <v>75</v>
      </c>
      <c r="L403">
        <v>75</v>
      </c>
      <c r="M403">
        <v>0</v>
      </c>
      <c r="N403" t="b">
        <v>0</v>
      </c>
      <c r="O403">
        <v>0.92</v>
      </c>
      <c r="P403" s="6">
        <v>0.92</v>
      </c>
      <c r="Q403" t="s">
        <v>1038</v>
      </c>
      <c r="R403" t="s">
        <v>1042</v>
      </c>
      <c r="S403">
        <v>5</v>
      </c>
      <c r="T403">
        <v>1</v>
      </c>
    </row>
    <row r="404" spans="1:20" x14ac:dyDescent="0.25">
      <c r="A404" t="s">
        <v>832</v>
      </c>
      <c r="B404" t="s">
        <v>1113</v>
      </c>
      <c r="C404" t="s">
        <v>1177</v>
      </c>
      <c r="E404" t="s">
        <v>1701</v>
      </c>
      <c r="G404" t="s">
        <v>1030</v>
      </c>
      <c r="H404" s="10" t="s">
        <v>1054</v>
      </c>
      <c r="I404">
        <v>32</v>
      </c>
      <c r="J404" t="s">
        <v>31</v>
      </c>
      <c r="K404" t="str">
        <f t="shared" si="6"/>
        <v>$30</v>
      </c>
      <c r="L404">
        <v>30</v>
      </c>
      <c r="M404">
        <v>2.4</v>
      </c>
      <c r="N404" t="b">
        <v>0</v>
      </c>
      <c r="O404">
        <v>0.64</v>
      </c>
      <c r="P404" s="6">
        <v>0.64</v>
      </c>
      <c r="Q404" t="s">
        <v>1038</v>
      </c>
      <c r="R404" t="s">
        <v>1042</v>
      </c>
      <c r="S404">
        <v>12</v>
      </c>
      <c r="T404">
        <v>15</v>
      </c>
    </row>
    <row r="405" spans="1:20" x14ac:dyDescent="0.25">
      <c r="A405" t="s">
        <v>834</v>
      </c>
      <c r="B405" t="s">
        <v>1580</v>
      </c>
      <c r="C405" t="s">
        <v>1581</v>
      </c>
      <c r="E405" t="s">
        <v>1939</v>
      </c>
      <c r="G405" t="s">
        <v>1027</v>
      </c>
      <c r="H405" s="10" t="s">
        <v>1023</v>
      </c>
      <c r="I405">
        <v>14</v>
      </c>
      <c r="J405">
        <v>30</v>
      </c>
      <c r="K405" t="str">
        <f t="shared" si="6"/>
        <v>30</v>
      </c>
      <c r="L405">
        <v>30</v>
      </c>
      <c r="M405">
        <v>0</v>
      </c>
      <c r="N405" t="b">
        <v>1</v>
      </c>
      <c r="O405">
        <v>0.78</v>
      </c>
      <c r="P405" s="6">
        <v>0.78</v>
      </c>
      <c r="Q405" t="s">
        <v>1038</v>
      </c>
      <c r="R405" t="s">
        <v>1032</v>
      </c>
      <c r="S405">
        <v>7</v>
      </c>
      <c r="T405">
        <v>10</v>
      </c>
    </row>
    <row r="406" spans="1:20" x14ac:dyDescent="0.25">
      <c r="A406" t="s">
        <v>836</v>
      </c>
      <c r="B406" t="s">
        <v>1403</v>
      </c>
      <c r="C406" t="s">
        <v>1237</v>
      </c>
      <c r="E406" t="s">
        <v>1940</v>
      </c>
      <c r="G406" t="s">
        <v>1068</v>
      </c>
      <c r="H406" s="10" t="s">
        <v>1033</v>
      </c>
      <c r="I406">
        <v>10</v>
      </c>
      <c r="J406">
        <v>20</v>
      </c>
      <c r="K406" t="str">
        <f t="shared" si="6"/>
        <v>20</v>
      </c>
      <c r="L406">
        <v>20</v>
      </c>
      <c r="M406">
        <v>1.8</v>
      </c>
      <c r="N406" t="b">
        <v>1</v>
      </c>
      <c r="O406">
        <v>85</v>
      </c>
      <c r="P406" s="6">
        <v>0.85</v>
      </c>
      <c r="Q406" t="s">
        <v>1046</v>
      </c>
      <c r="R406" t="s">
        <v>1025</v>
      </c>
      <c r="S406">
        <v>6</v>
      </c>
      <c r="T406">
        <v>4</v>
      </c>
    </row>
    <row r="407" spans="1:20" x14ac:dyDescent="0.25">
      <c r="A407" t="s">
        <v>838</v>
      </c>
      <c r="B407" t="s">
        <v>1582</v>
      </c>
      <c r="C407" t="s">
        <v>1583</v>
      </c>
      <c r="E407" t="s">
        <v>1941</v>
      </c>
      <c r="G407" t="s">
        <v>1037</v>
      </c>
      <c r="H407" s="10" t="s">
        <v>1050</v>
      </c>
      <c r="I407">
        <v>27</v>
      </c>
      <c r="J407" t="s">
        <v>44</v>
      </c>
      <c r="K407" t="str">
        <f t="shared" si="6"/>
        <v>$50</v>
      </c>
      <c r="L407">
        <v>50</v>
      </c>
      <c r="M407">
        <v>0</v>
      </c>
      <c r="N407" t="s">
        <v>111</v>
      </c>
      <c r="O407">
        <v>0.78</v>
      </c>
      <c r="P407" s="6">
        <v>0.78</v>
      </c>
      <c r="Q407" t="s">
        <v>1038</v>
      </c>
      <c r="R407" t="s">
        <v>1032</v>
      </c>
      <c r="S407">
        <v>14</v>
      </c>
      <c r="T407">
        <v>11</v>
      </c>
    </row>
    <row r="408" spans="1:20" x14ac:dyDescent="0.25">
      <c r="A408" t="s">
        <v>840</v>
      </c>
      <c r="B408" t="s">
        <v>1584</v>
      </c>
      <c r="C408" t="s">
        <v>1561</v>
      </c>
      <c r="E408" t="s">
        <v>1942</v>
      </c>
      <c r="G408" t="s">
        <v>1064</v>
      </c>
      <c r="H408" s="10" t="s">
        <v>30</v>
      </c>
      <c r="I408">
        <v>2</v>
      </c>
      <c r="J408" t="s">
        <v>31</v>
      </c>
      <c r="K408" t="str">
        <f t="shared" si="6"/>
        <v>$30</v>
      </c>
      <c r="L408">
        <v>30</v>
      </c>
      <c r="M408">
        <v>3.8</v>
      </c>
      <c r="N408" t="b">
        <v>1</v>
      </c>
      <c r="O408">
        <v>0.98</v>
      </c>
      <c r="P408" s="6">
        <v>0.98</v>
      </c>
      <c r="Q408" t="s">
        <v>1045</v>
      </c>
      <c r="R408" t="s">
        <v>1042</v>
      </c>
      <c r="S408">
        <v>2</v>
      </c>
      <c r="T408">
        <v>1</v>
      </c>
    </row>
    <row r="409" spans="1:20" x14ac:dyDescent="0.25">
      <c r="A409" t="s">
        <v>842</v>
      </c>
      <c r="B409" t="s">
        <v>1320</v>
      </c>
      <c r="C409" t="s">
        <v>1585</v>
      </c>
      <c r="E409" t="s">
        <v>1943</v>
      </c>
      <c r="G409" t="s">
        <v>1053</v>
      </c>
      <c r="H409" s="10" t="s">
        <v>30</v>
      </c>
      <c r="I409">
        <v>33</v>
      </c>
      <c r="J409" t="s">
        <v>37</v>
      </c>
      <c r="K409" t="str">
        <f t="shared" si="6"/>
        <v>USD 40</v>
      </c>
      <c r="L409">
        <v>40</v>
      </c>
      <c r="M409">
        <v>0</v>
      </c>
      <c r="N409" t="b">
        <v>1</v>
      </c>
      <c r="O409">
        <v>0.63</v>
      </c>
      <c r="P409" s="6">
        <v>0.63</v>
      </c>
      <c r="Q409" t="s">
        <v>1038</v>
      </c>
      <c r="R409" t="s">
        <v>1029</v>
      </c>
      <c r="S409">
        <v>16</v>
      </c>
      <c r="T409">
        <v>14</v>
      </c>
    </row>
    <row r="410" spans="1:20" x14ac:dyDescent="0.25">
      <c r="A410" t="s">
        <v>844</v>
      </c>
      <c r="B410" t="s">
        <v>1574</v>
      </c>
      <c r="C410" t="s">
        <v>1586</v>
      </c>
      <c r="E410" t="s">
        <v>1944</v>
      </c>
      <c r="G410" t="s">
        <v>1040</v>
      </c>
      <c r="H410" s="10" t="s">
        <v>1031</v>
      </c>
      <c r="I410">
        <v>11</v>
      </c>
      <c r="J410" t="s">
        <v>37</v>
      </c>
      <c r="K410" t="str">
        <f t="shared" si="6"/>
        <v>USD 40</v>
      </c>
      <c r="L410">
        <v>40</v>
      </c>
      <c r="M410">
        <v>3.6</v>
      </c>
      <c r="N410" t="b">
        <v>0</v>
      </c>
      <c r="O410">
        <v>0.73</v>
      </c>
      <c r="P410" s="6">
        <v>0.73</v>
      </c>
      <c r="Q410" t="s">
        <v>1045</v>
      </c>
      <c r="R410" t="s">
        <v>1029</v>
      </c>
      <c r="S410">
        <v>14</v>
      </c>
      <c r="T410">
        <v>7</v>
      </c>
    </row>
    <row r="411" spans="1:20" x14ac:dyDescent="0.25">
      <c r="A411" t="s">
        <v>846</v>
      </c>
      <c r="B411" t="s">
        <v>1270</v>
      </c>
      <c r="C411" t="s">
        <v>1587</v>
      </c>
      <c r="E411" t="s">
        <v>1945</v>
      </c>
      <c r="G411" t="s">
        <v>1048</v>
      </c>
      <c r="H411" s="10" t="s">
        <v>1031</v>
      </c>
      <c r="I411">
        <v>2</v>
      </c>
      <c r="J411">
        <v>30</v>
      </c>
      <c r="K411" t="str">
        <f t="shared" si="6"/>
        <v>30</v>
      </c>
      <c r="L411">
        <v>30</v>
      </c>
      <c r="M411">
        <v>0</v>
      </c>
      <c r="N411" t="b">
        <v>0</v>
      </c>
      <c r="O411">
        <v>0.94</v>
      </c>
      <c r="P411" s="6">
        <v>0.94</v>
      </c>
      <c r="Q411" t="s">
        <v>1024</v>
      </c>
      <c r="R411" t="s">
        <v>1042</v>
      </c>
      <c r="S411">
        <v>2</v>
      </c>
      <c r="T411">
        <v>4</v>
      </c>
    </row>
    <row r="412" spans="1:20" x14ac:dyDescent="0.25">
      <c r="A412" t="s">
        <v>848</v>
      </c>
      <c r="B412" t="s">
        <v>1588</v>
      </c>
      <c r="C412" t="s">
        <v>1521</v>
      </c>
      <c r="E412" t="s">
        <v>1901</v>
      </c>
      <c r="G412" t="s">
        <v>1027</v>
      </c>
      <c r="H412" s="10" t="s">
        <v>1033</v>
      </c>
      <c r="I412">
        <v>31</v>
      </c>
      <c r="J412" t="s">
        <v>44</v>
      </c>
      <c r="K412" t="str">
        <f t="shared" si="6"/>
        <v>$50</v>
      </c>
      <c r="L412">
        <v>50</v>
      </c>
      <c r="M412">
        <v>4.0999999999999996</v>
      </c>
      <c r="N412" t="b">
        <v>0</v>
      </c>
      <c r="O412">
        <v>0.81</v>
      </c>
      <c r="P412" s="6">
        <v>0.81</v>
      </c>
      <c r="Q412" t="s">
        <v>1046</v>
      </c>
      <c r="R412" t="s">
        <v>1042</v>
      </c>
      <c r="S412">
        <v>11</v>
      </c>
      <c r="T412">
        <v>3</v>
      </c>
    </row>
    <row r="413" spans="1:20" x14ac:dyDescent="0.25">
      <c r="A413" t="s">
        <v>850</v>
      </c>
      <c r="B413" t="s">
        <v>1150</v>
      </c>
      <c r="C413" t="s">
        <v>1589</v>
      </c>
      <c r="E413" t="s">
        <v>1946</v>
      </c>
      <c r="G413" t="s">
        <v>1044</v>
      </c>
      <c r="H413" s="10" t="s">
        <v>1031</v>
      </c>
      <c r="I413">
        <v>17</v>
      </c>
      <c r="J413" t="s">
        <v>44</v>
      </c>
      <c r="K413" t="str">
        <f t="shared" si="6"/>
        <v>$50</v>
      </c>
      <c r="L413">
        <v>50</v>
      </c>
      <c r="M413">
        <v>2.6</v>
      </c>
      <c r="N413" t="b">
        <v>1</v>
      </c>
      <c r="O413">
        <v>0.61</v>
      </c>
      <c r="P413" s="6">
        <v>0.61</v>
      </c>
      <c r="Q413" t="s">
        <v>1024</v>
      </c>
      <c r="R413" t="s">
        <v>1029</v>
      </c>
      <c r="S413">
        <v>20</v>
      </c>
      <c r="T413">
        <v>1</v>
      </c>
    </row>
    <row r="414" spans="1:20" x14ac:dyDescent="0.25">
      <c r="A414" t="s">
        <v>852</v>
      </c>
      <c r="B414" t="s">
        <v>1590</v>
      </c>
      <c r="C414" t="s">
        <v>1591</v>
      </c>
      <c r="E414" t="s">
        <v>1947</v>
      </c>
      <c r="G414" t="s">
        <v>1058</v>
      </c>
      <c r="H414" s="10" t="s">
        <v>1049</v>
      </c>
      <c r="I414">
        <v>2</v>
      </c>
      <c r="J414" t="s">
        <v>177</v>
      </c>
      <c r="K414" t="str">
        <f t="shared" si="6"/>
        <v>$100</v>
      </c>
      <c r="L414">
        <v>100</v>
      </c>
      <c r="M414">
        <v>0</v>
      </c>
      <c r="N414" t="b">
        <v>0</v>
      </c>
      <c r="P414" s="6">
        <v>0.78</v>
      </c>
      <c r="Q414" t="s">
        <v>1024</v>
      </c>
      <c r="R414" t="s">
        <v>1032</v>
      </c>
      <c r="S414">
        <v>3</v>
      </c>
      <c r="T414">
        <v>5</v>
      </c>
    </row>
    <row r="415" spans="1:20" x14ac:dyDescent="0.25">
      <c r="A415" t="s">
        <v>854</v>
      </c>
      <c r="B415" t="s">
        <v>1287</v>
      </c>
      <c r="C415" t="s">
        <v>1592</v>
      </c>
      <c r="E415" t="s">
        <v>1948</v>
      </c>
      <c r="G415" t="s">
        <v>1066</v>
      </c>
      <c r="H415" s="10" t="s">
        <v>1033</v>
      </c>
      <c r="I415">
        <v>2</v>
      </c>
      <c r="J415">
        <v>20</v>
      </c>
      <c r="K415" t="str">
        <f t="shared" si="6"/>
        <v>20</v>
      </c>
      <c r="L415">
        <v>20</v>
      </c>
      <c r="M415">
        <v>1.3</v>
      </c>
      <c r="N415" t="s">
        <v>111</v>
      </c>
      <c r="O415">
        <v>0.83</v>
      </c>
      <c r="P415" s="6">
        <v>0.83</v>
      </c>
      <c r="Q415" t="s">
        <v>1045</v>
      </c>
      <c r="R415" t="s">
        <v>1032</v>
      </c>
      <c r="S415">
        <v>1</v>
      </c>
      <c r="T415">
        <v>5</v>
      </c>
    </row>
    <row r="416" spans="1:20" x14ac:dyDescent="0.25">
      <c r="A416" t="s">
        <v>856</v>
      </c>
      <c r="B416" t="s">
        <v>1352</v>
      </c>
      <c r="C416" t="s">
        <v>1593</v>
      </c>
      <c r="E416" t="s">
        <v>1949</v>
      </c>
      <c r="G416" t="s">
        <v>1059</v>
      </c>
      <c r="H416" s="10" t="s">
        <v>1050</v>
      </c>
      <c r="I416">
        <v>22</v>
      </c>
      <c r="J416">
        <v>30</v>
      </c>
      <c r="K416" t="str">
        <f t="shared" si="6"/>
        <v>30</v>
      </c>
      <c r="L416">
        <v>30</v>
      </c>
      <c r="M416">
        <v>4.0999999999999996</v>
      </c>
      <c r="N416" t="b">
        <v>1</v>
      </c>
      <c r="P416" s="6">
        <v>0.78</v>
      </c>
      <c r="Q416" t="s">
        <v>1024</v>
      </c>
      <c r="R416" t="s">
        <v>1042</v>
      </c>
      <c r="S416">
        <v>15</v>
      </c>
      <c r="T416">
        <v>5</v>
      </c>
    </row>
    <row r="417" spans="1:20" x14ac:dyDescent="0.25">
      <c r="A417" t="s">
        <v>858</v>
      </c>
      <c r="B417" t="s">
        <v>1256</v>
      </c>
      <c r="C417" t="s">
        <v>1594</v>
      </c>
      <c r="E417" t="s">
        <v>1950</v>
      </c>
      <c r="G417" t="s">
        <v>1048</v>
      </c>
      <c r="H417" s="10" t="s">
        <v>1035</v>
      </c>
      <c r="I417">
        <v>8</v>
      </c>
      <c r="J417" t="s">
        <v>44</v>
      </c>
      <c r="K417" t="str">
        <f t="shared" si="6"/>
        <v>$50</v>
      </c>
      <c r="L417">
        <v>50</v>
      </c>
      <c r="M417">
        <v>2.4</v>
      </c>
      <c r="N417" t="s">
        <v>111</v>
      </c>
      <c r="O417">
        <v>0.68</v>
      </c>
      <c r="P417" s="6">
        <v>0.68</v>
      </c>
      <c r="Q417" t="s">
        <v>1045</v>
      </c>
      <c r="R417" t="s">
        <v>1032</v>
      </c>
      <c r="S417">
        <v>7</v>
      </c>
      <c r="T417">
        <v>11</v>
      </c>
    </row>
    <row r="418" spans="1:20" x14ac:dyDescent="0.25">
      <c r="A418" t="s">
        <v>860</v>
      </c>
      <c r="B418" t="s">
        <v>1166</v>
      </c>
      <c r="C418" t="s">
        <v>1132</v>
      </c>
      <c r="E418" t="s">
        <v>1679</v>
      </c>
      <c r="G418" t="s">
        <v>1048</v>
      </c>
      <c r="H418" s="10" t="s">
        <v>1041</v>
      </c>
      <c r="I418">
        <v>9</v>
      </c>
      <c r="J418" t="s">
        <v>44</v>
      </c>
      <c r="K418" t="str">
        <f t="shared" si="6"/>
        <v>$50</v>
      </c>
      <c r="L418">
        <v>50</v>
      </c>
      <c r="M418">
        <v>0</v>
      </c>
      <c r="N418" t="b">
        <v>0</v>
      </c>
      <c r="O418">
        <v>0.74</v>
      </c>
      <c r="P418" s="6">
        <v>0.74</v>
      </c>
      <c r="Q418" t="s">
        <v>1038</v>
      </c>
      <c r="R418" t="s">
        <v>1029</v>
      </c>
      <c r="S418">
        <v>9</v>
      </c>
      <c r="T418">
        <v>9</v>
      </c>
    </row>
    <row r="419" spans="1:20" x14ac:dyDescent="0.25">
      <c r="A419" t="s">
        <v>861</v>
      </c>
      <c r="B419" t="s">
        <v>1125</v>
      </c>
      <c r="C419" t="s">
        <v>1305</v>
      </c>
      <c r="E419" t="s">
        <v>1768</v>
      </c>
      <c r="G419" t="s">
        <v>1066</v>
      </c>
      <c r="H419" s="10" t="s">
        <v>1033</v>
      </c>
      <c r="I419">
        <v>32</v>
      </c>
      <c r="J419">
        <v>100</v>
      </c>
      <c r="K419" t="str">
        <f t="shared" si="6"/>
        <v>100</v>
      </c>
      <c r="L419">
        <v>100</v>
      </c>
      <c r="M419">
        <v>4.4000000000000004</v>
      </c>
      <c r="N419" t="b">
        <v>0</v>
      </c>
      <c r="O419">
        <v>91</v>
      </c>
      <c r="P419" s="6">
        <v>0.91</v>
      </c>
      <c r="Q419" t="s">
        <v>1038</v>
      </c>
      <c r="R419" t="s">
        <v>1032</v>
      </c>
      <c r="S419">
        <v>14</v>
      </c>
      <c r="T419">
        <v>15</v>
      </c>
    </row>
    <row r="420" spans="1:20" x14ac:dyDescent="0.25">
      <c r="A420" t="s">
        <v>863</v>
      </c>
      <c r="B420" t="s">
        <v>1595</v>
      </c>
      <c r="C420" t="s">
        <v>1414</v>
      </c>
      <c r="E420" t="s">
        <v>1830</v>
      </c>
      <c r="G420" t="s">
        <v>1064</v>
      </c>
      <c r="H420" s="10" t="s">
        <v>30</v>
      </c>
      <c r="I420">
        <v>8</v>
      </c>
      <c r="J420" t="s">
        <v>21</v>
      </c>
      <c r="K420" t="str">
        <f t="shared" si="6"/>
        <v>USD 100</v>
      </c>
      <c r="L420">
        <v>100</v>
      </c>
      <c r="M420">
        <v>2.2000000000000002</v>
      </c>
      <c r="N420" t="b">
        <v>1</v>
      </c>
      <c r="O420">
        <v>0.97</v>
      </c>
      <c r="P420" s="6">
        <v>0.97</v>
      </c>
      <c r="Q420" t="s">
        <v>1045</v>
      </c>
      <c r="R420" t="s">
        <v>1042</v>
      </c>
      <c r="S420">
        <v>10</v>
      </c>
      <c r="T420">
        <v>5</v>
      </c>
    </row>
    <row r="421" spans="1:20" x14ac:dyDescent="0.25">
      <c r="A421" t="s">
        <v>865</v>
      </c>
      <c r="B421" t="s">
        <v>1596</v>
      </c>
      <c r="C421" t="s">
        <v>1597</v>
      </c>
      <c r="D421" t="s">
        <v>1289</v>
      </c>
      <c r="E421" t="s">
        <v>1951</v>
      </c>
      <c r="G421" t="s">
        <v>1027</v>
      </c>
      <c r="H421" s="10" t="s">
        <v>1028</v>
      </c>
      <c r="I421">
        <v>10</v>
      </c>
      <c r="J421">
        <v>30</v>
      </c>
      <c r="K421" t="str">
        <f t="shared" si="6"/>
        <v>30</v>
      </c>
      <c r="L421">
        <v>30</v>
      </c>
      <c r="M421">
        <v>0</v>
      </c>
      <c r="N421" t="b">
        <v>0</v>
      </c>
      <c r="O421">
        <v>0.96</v>
      </c>
      <c r="P421" s="6">
        <v>0.96</v>
      </c>
      <c r="Q421" t="s">
        <v>1038</v>
      </c>
      <c r="R421" t="s">
        <v>1029</v>
      </c>
      <c r="S421">
        <v>15</v>
      </c>
      <c r="T421">
        <v>12</v>
      </c>
    </row>
    <row r="422" spans="1:20" x14ac:dyDescent="0.25">
      <c r="A422" t="s">
        <v>866</v>
      </c>
      <c r="B422" t="s">
        <v>1148</v>
      </c>
      <c r="C422" t="s">
        <v>1318</v>
      </c>
      <c r="E422" t="s">
        <v>1775</v>
      </c>
      <c r="G422" t="s">
        <v>1068</v>
      </c>
      <c r="H422" s="10" t="s">
        <v>1054</v>
      </c>
      <c r="I422">
        <v>0</v>
      </c>
      <c r="J422">
        <v>50</v>
      </c>
      <c r="K422" t="str">
        <f t="shared" si="6"/>
        <v>50</v>
      </c>
      <c r="L422">
        <v>50</v>
      </c>
      <c r="M422">
        <v>1.1000000000000001</v>
      </c>
      <c r="N422" t="b">
        <v>1</v>
      </c>
      <c r="O422">
        <v>0.73</v>
      </c>
      <c r="P422" s="6">
        <v>0.73</v>
      </c>
      <c r="Q422" t="s">
        <v>1046</v>
      </c>
      <c r="R422" t="s">
        <v>1032</v>
      </c>
      <c r="S422">
        <v>2</v>
      </c>
      <c r="T422">
        <v>1</v>
      </c>
    </row>
    <row r="423" spans="1:20" x14ac:dyDescent="0.25">
      <c r="A423" t="s">
        <v>868</v>
      </c>
      <c r="B423" t="s">
        <v>1598</v>
      </c>
      <c r="C423" t="s">
        <v>1143</v>
      </c>
      <c r="E423" t="s">
        <v>1684</v>
      </c>
      <c r="G423" t="s">
        <v>1056</v>
      </c>
      <c r="H423" s="10" t="s">
        <v>1050</v>
      </c>
      <c r="I423">
        <v>22</v>
      </c>
      <c r="K423" t="str">
        <f t="shared" si="6"/>
        <v/>
      </c>
      <c r="L423">
        <v>70</v>
      </c>
      <c r="M423">
        <v>1.4</v>
      </c>
      <c r="N423" t="b">
        <v>1</v>
      </c>
      <c r="O423">
        <v>0.72</v>
      </c>
      <c r="P423" s="6">
        <v>0.72</v>
      </c>
      <c r="Q423" t="s">
        <v>1024</v>
      </c>
      <c r="R423" t="s">
        <v>1025</v>
      </c>
      <c r="S423">
        <v>19</v>
      </c>
      <c r="T423">
        <v>2</v>
      </c>
    </row>
    <row r="424" spans="1:20" x14ac:dyDescent="0.25">
      <c r="A424" t="s">
        <v>870</v>
      </c>
      <c r="B424" t="s">
        <v>1282</v>
      </c>
      <c r="C424" t="s">
        <v>1368</v>
      </c>
      <c r="E424" t="s">
        <v>1804</v>
      </c>
      <c r="G424" t="s">
        <v>1048</v>
      </c>
      <c r="H424" s="10" t="s">
        <v>1049</v>
      </c>
      <c r="I424">
        <v>34</v>
      </c>
      <c r="J424" t="s">
        <v>177</v>
      </c>
      <c r="K424" t="str">
        <f t="shared" si="6"/>
        <v>$100</v>
      </c>
      <c r="L424">
        <v>100</v>
      </c>
      <c r="M424">
        <v>0</v>
      </c>
      <c r="N424" t="b">
        <v>1</v>
      </c>
      <c r="O424">
        <v>0.74</v>
      </c>
      <c r="P424" s="6">
        <v>0.74</v>
      </c>
      <c r="Q424" t="s">
        <v>1046</v>
      </c>
      <c r="R424" t="s">
        <v>1029</v>
      </c>
      <c r="S424">
        <v>19</v>
      </c>
      <c r="T424">
        <v>14</v>
      </c>
    </row>
    <row r="425" spans="1:20" x14ac:dyDescent="0.25">
      <c r="A425" t="s">
        <v>872</v>
      </c>
      <c r="B425" t="s">
        <v>1599</v>
      </c>
      <c r="C425" t="s">
        <v>1500</v>
      </c>
      <c r="E425" t="s">
        <v>1886</v>
      </c>
      <c r="G425" t="s">
        <v>1048</v>
      </c>
      <c r="H425" s="10" t="s">
        <v>1028</v>
      </c>
      <c r="I425">
        <v>5</v>
      </c>
      <c r="J425">
        <v>30</v>
      </c>
      <c r="K425" t="str">
        <f t="shared" si="6"/>
        <v>30</v>
      </c>
      <c r="L425">
        <v>30</v>
      </c>
      <c r="M425">
        <v>1.5</v>
      </c>
      <c r="N425" t="b">
        <v>0</v>
      </c>
      <c r="P425" s="6">
        <v>0.78</v>
      </c>
      <c r="Q425" t="s">
        <v>1024</v>
      </c>
      <c r="R425" t="s">
        <v>1029</v>
      </c>
      <c r="S425">
        <v>4</v>
      </c>
      <c r="T425">
        <v>2</v>
      </c>
    </row>
    <row r="426" spans="1:20" x14ac:dyDescent="0.25">
      <c r="A426" t="s">
        <v>874</v>
      </c>
      <c r="B426" t="s">
        <v>1600</v>
      </c>
      <c r="C426" t="s">
        <v>1432</v>
      </c>
      <c r="E426" t="s">
        <v>1952</v>
      </c>
      <c r="G426" t="s">
        <v>1056</v>
      </c>
      <c r="H426" s="10" t="s">
        <v>30</v>
      </c>
      <c r="I426">
        <v>3</v>
      </c>
      <c r="J426">
        <v>20</v>
      </c>
      <c r="K426" t="str">
        <f t="shared" si="6"/>
        <v>20</v>
      </c>
      <c r="L426">
        <v>20</v>
      </c>
      <c r="M426">
        <v>0</v>
      </c>
      <c r="N426" t="b">
        <v>1</v>
      </c>
      <c r="P426" s="6">
        <v>0.78</v>
      </c>
      <c r="Q426" t="s">
        <v>1038</v>
      </c>
      <c r="R426" t="s">
        <v>1025</v>
      </c>
      <c r="S426">
        <v>2</v>
      </c>
      <c r="T426">
        <v>1</v>
      </c>
    </row>
    <row r="427" spans="1:20" x14ac:dyDescent="0.25">
      <c r="A427" t="s">
        <v>876</v>
      </c>
      <c r="B427" t="s">
        <v>1287</v>
      </c>
      <c r="C427" t="s">
        <v>1601</v>
      </c>
      <c r="E427" t="s">
        <v>1953</v>
      </c>
      <c r="G427" t="s">
        <v>1037</v>
      </c>
      <c r="H427" s="10" t="s">
        <v>1035</v>
      </c>
      <c r="I427">
        <v>10</v>
      </c>
      <c r="J427">
        <v>75</v>
      </c>
      <c r="K427" t="str">
        <f t="shared" si="6"/>
        <v>75</v>
      </c>
      <c r="L427">
        <v>75</v>
      </c>
      <c r="M427">
        <v>0</v>
      </c>
      <c r="N427" t="b">
        <v>0</v>
      </c>
      <c r="O427">
        <v>0.74</v>
      </c>
      <c r="P427" s="6">
        <v>0.74</v>
      </c>
      <c r="Q427" t="s">
        <v>1046</v>
      </c>
      <c r="R427" t="s">
        <v>1025</v>
      </c>
      <c r="S427">
        <v>8</v>
      </c>
      <c r="T427">
        <v>9</v>
      </c>
    </row>
    <row r="428" spans="1:20" x14ac:dyDescent="0.25">
      <c r="A428" t="s">
        <v>878</v>
      </c>
      <c r="B428" t="s">
        <v>1548</v>
      </c>
      <c r="C428" t="s">
        <v>1602</v>
      </c>
      <c r="E428" t="s">
        <v>1954</v>
      </c>
      <c r="G428" t="s">
        <v>1027</v>
      </c>
      <c r="H428" s="10" t="s">
        <v>1054</v>
      </c>
      <c r="I428">
        <v>10</v>
      </c>
      <c r="J428">
        <v>100</v>
      </c>
      <c r="K428" t="str">
        <f t="shared" si="6"/>
        <v>100</v>
      </c>
      <c r="L428">
        <v>100</v>
      </c>
      <c r="M428">
        <v>3.5</v>
      </c>
      <c r="N428" t="b">
        <v>1</v>
      </c>
      <c r="O428">
        <v>0.71</v>
      </c>
      <c r="P428" s="6">
        <v>0.71</v>
      </c>
      <c r="Q428" t="s">
        <v>1038</v>
      </c>
      <c r="R428" t="s">
        <v>1029</v>
      </c>
      <c r="S428">
        <v>2</v>
      </c>
      <c r="T428">
        <v>1</v>
      </c>
    </row>
    <row r="429" spans="1:20" x14ac:dyDescent="0.25">
      <c r="A429" t="s">
        <v>880</v>
      </c>
      <c r="B429" t="s">
        <v>1437</v>
      </c>
      <c r="C429" t="s">
        <v>1603</v>
      </c>
      <c r="E429" t="s">
        <v>1955</v>
      </c>
      <c r="G429" t="s">
        <v>1037</v>
      </c>
      <c r="H429" s="10" t="s">
        <v>1049</v>
      </c>
      <c r="I429">
        <v>6</v>
      </c>
      <c r="K429" t="str">
        <f t="shared" si="6"/>
        <v/>
      </c>
      <c r="L429">
        <v>70</v>
      </c>
      <c r="M429">
        <v>4.8</v>
      </c>
      <c r="N429" t="b">
        <v>0</v>
      </c>
      <c r="O429">
        <v>0.83</v>
      </c>
      <c r="P429" s="6">
        <v>0.83</v>
      </c>
      <c r="Q429" t="s">
        <v>1024</v>
      </c>
      <c r="R429" t="s">
        <v>1025</v>
      </c>
      <c r="S429">
        <v>14</v>
      </c>
      <c r="T429">
        <v>2</v>
      </c>
    </row>
    <row r="430" spans="1:20" x14ac:dyDescent="0.25">
      <c r="A430" t="s">
        <v>882</v>
      </c>
      <c r="B430" t="s">
        <v>1225</v>
      </c>
      <c r="C430" t="s">
        <v>1604</v>
      </c>
      <c r="E430" t="s">
        <v>1956</v>
      </c>
      <c r="G430" t="s">
        <v>1022</v>
      </c>
      <c r="H430" s="10" t="s">
        <v>1035</v>
      </c>
      <c r="I430">
        <v>1</v>
      </c>
      <c r="J430" t="s">
        <v>122</v>
      </c>
      <c r="K430" t="str">
        <f t="shared" si="6"/>
        <v>$75</v>
      </c>
      <c r="L430">
        <v>75</v>
      </c>
      <c r="M430">
        <v>2.4</v>
      </c>
      <c r="N430" t="b">
        <v>0</v>
      </c>
      <c r="O430">
        <v>0.63</v>
      </c>
      <c r="P430" s="6">
        <v>0.63</v>
      </c>
      <c r="Q430" t="s">
        <v>1045</v>
      </c>
      <c r="R430" t="s">
        <v>1042</v>
      </c>
      <c r="S430">
        <v>4</v>
      </c>
      <c r="T430">
        <v>2</v>
      </c>
    </row>
    <row r="431" spans="1:20" x14ac:dyDescent="0.25">
      <c r="A431" t="s">
        <v>884</v>
      </c>
      <c r="B431" t="s">
        <v>1308</v>
      </c>
      <c r="C431" t="s">
        <v>1303</v>
      </c>
      <c r="E431" t="s">
        <v>1767</v>
      </c>
      <c r="G431" t="s">
        <v>1027</v>
      </c>
      <c r="H431" s="10" t="s">
        <v>30</v>
      </c>
      <c r="I431">
        <v>0</v>
      </c>
      <c r="K431" t="str">
        <f t="shared" si="6"/>
        <v/>
      </c>
      <c r="L431">
        <v>70</v>
      </c>
      <c r="M431">
        <v>4.8</v>
      </c>
      <c r="N431" t="b">
        <v>0</v>
      </c>
      <c r="O431">
        <v>0.84</v>
      </c>
      <c r="P431" s="6">
        <v>0.84</v>
      </c>
      <c r="Q431" t="s">
        <v>1045</v>
      </c>
      <c r="R431" t="s">
        <v>1042</v>
      </c>
      <c r="S431">
        <v>4</v>
      </c>
      <c r="T431">
        <v>1</v>
      </c>
    </row>
    <row r="432" spans="1:20" x14ac:dyDescent="0.25">
      <c r="A432" t="s">
        <v>886</v>
      </c>
      <c r="B432" t="s">
        <v>1292</v>
      </c>
      <c r="C432" t="s">
        <v>1605</v>
      </c>
      <c r="E432" t="s">
        <v>1957</v>
      </c>
      <c r="G432" t="s">
        <v>1068</v>
      </c>
      <c r="H432" s="10" t="s">
        <v>1033</v>
      </c>
      <c r="I432">
        <v>10</v>
      </c>
      <c r="K432" t="str">
        <f t="shared" si="6"/>
        <v/>
      </c>
      <c r="L432">
        <v>70</v>
      </c>
      <c r="M432">
        <v>1.4</v>
      </c>
      <c r="N432" t="b">
        <v>0</v>
      </c>
      <c r="O432">
        <v>0.93</v>
      </c>
      <c r="P432" s="6">
        <v>0.93</v>
      </c>
      <c r="Q432" t="s">
        <v>1046</v>
      </c>
      <c r="R432" t="s">
        <v>1042</v>
      </c>
      <c r="S432">
        <v>3</v>
      </c>
      <c r="T432">
        <v>1</v>
      </c>
    </row>
    <row r="433" spans="1:20" x14ac:dyDescent="0.25">
      <c r="A433" t="s">
        <v>888</v>
      </c>
      <c r="B433" t="s">
        <v>1472</v>
      </c>
      <c r="C433" t="s">
        <v>1249</v>
      </c>
      <c r="D433" t="s">
        <v>1606</v>
      </c>
      <c r="E433" t="s">
        <v>1958</v>
      </c>
      <c r="G433" t="s">
        <v>1056</v>
      </c>
      <c r="H433" s="10" t="s">
        <v>30</v>
      </c>
      <c r="I433">
        <v>13</v>
      </c>
      <c r="J433" t="s">
        <v>21</v>
      </c>
      <c r="K433" t="str">
        <f t="shared" si="6"/>
        <v>USD 100</v>
      </c>
      <c r="L433">
        <v>100</v>
      </c>
      <c r="M433">
        <v>1.1000000000000001</v>
      </c>
      <c r="N433" t="b">
        <v>1</v>
      </c>
      <c r="P433" s="6">
        <v>0.78</v>
      </c>
      <c r="Q433" t="s">
        <v>1038</v>
      </c>
      <c r="R433" t="s">
        <v>1029</v>
      </c>
      <c r="S433">
        <v>13</v>
      </c>
      <c r="T433">
        <v>9</v>
      </c>
    </row>
    <row r="434" spans="1:20" x14ac:dyDescent="0.25">
      <c r="A434" t="s">
        <v>890</v>
      </c>
      <c r="B434" t="s">
        <v>1192</v>
      </c>
      <c r="C434" t="s">
        <v>1168</v>
      </c>
      <c r="E434" t="s">
        <v>1697</v>
      </c>
      <c r="G434" t="s">
        <v>1037</v>
      </c>
      <c r="H434" s="10" t="s">
        <v>1035</v>
      </c>
      <c r="I434">
        <v>13</v>
      </c>
      <c r="J434" t="s">
        <v>44</v>
      </c>
      <c r="K434" t="str">
        <f t="shared" si="6"/>
        <v>$50</v>
      </c>
      <c r="L434">
        <v>50</v>
      </c>
      <c r="M434">
        <v>3.3</v>
      </c>
      <c r="N434" t="b">
        <v>1</v>
      </c>
      <c r="O434">
        <v>0.93</v>
      </c>
      <c r="P434" s="6">
        <v>0.93</v>
      </c>
      <c r="Q434" t="s">
        <v>1038</v>
      </c>
      <c r="R434" t="s">
        <v>1025</v>
      </c>
      <c r="S434">
        <v>10</v>
      </c>
      <c r="T434">
        <v>10</v>
      </c>
    </row>
    <row r="435" spans="1:20" x14ac:dyDescent="0.25">
      <c r="A435" t="s">
        <v>892</v>
      </c>
      <c r="B435" t="s">
        <v>1264</v>
      </c>
      <c r="C435" t="s">
        <v>1508</v>
      </c>
      <c r="E435" t="s">
        <v>1898</v>
      </c>
      <c r="G435" t="s">
        <v>1030</v>
      </c>
      <c r="H435" s="10" t="s">
        <v>1023</v>
      </c>
      <c r="I435">
        <v>0</v>
      </c>
      <c r="J435" t="s">
        <v>73</v>
      </c>
      <c r="K435" t="str">
        <f t="shared" si="6"/>
        <v>USD 30</v>
      </c>
      <c r="L435">
        <v>30</v>
      </c>
      <c r="M435">
        <v>4.5999999999999996</v>
      </c>
      <c r="N435" t="b">
        <v>0</v>
      </c>
      <c r="O435">
        <v>0.97</v>
      </c>
      <c r="P435" s="6">
        <v>0.97</v>
      </c>
      <c r="Q435" t="s">
        <v>1046</v>
      </c>
      <c r="R435" t="s">
        <v>1025</v>
      </c>
      <c r="S435">
        <v>1</v>
      </c>
      <c r="T435">
        <v>1</v>
      </c>
    </row>
    <row r="436" spans="1:20" x14ac:dyDescent="0.25">
      <c r="A436" t="s">
        <v>894</v>
      </c>
      <c r="B436" t="s">
        <v>1270</v>
      </c>
      <c r="C436" t="s">
        <v>1334</v>
      </c>
      <c r="E436" t="s">
        <v>1784</v>
      </c>
      <c r="G436" t="s">
        <v>1048</v>
      </c>
      <c r="H436" s="10" t="s">
        <v>1035</v>
      </c>
      <c r="I436">
        <v>7</v>
      </c>
      <c r="J436" t="s">
        <v>34</v>
      </c>
      <c r="K436" t="str">
        <f t="shared" si="6"/>
        <v>USD 75</v>
      </c>
      <c r="L436">
        <v>75</v>
      </c>
      <c r="M436">
        <v>2.8</v>
      </c>
      <c r="N436" t="b">
        <v>1</v>
      </c>
      <c r="O436">
        <v>0.92</v>
      </c>
      <c r="P436" s="6">
        <v>0.92</v>
      </c>
      <c r="Q436" t="s">
        <v>1045</v>
      </c>
      <c r="R436" t="s">
        <v>1032</v>
      </c>
      <c r="S436">
        <v>7</v>
      </c>
      <c r="T436">
        <v>4</v>
      </c>
    </row>
    <row r="437" spans="1:20" x14ac:dyDescent="0.25">
      <c r="A437" t="s">
        <v>896</v>
      </c>
      <c r="B437" t="s">
        <v>1353</v>
      </c>
      <c r="C437" t="s">
        <v>1607</v>
      </c>
      <c r="E437" t="s">
        <v>1959</v>
      </c>
      <c r="G437" t="s">
        <v>1027</v>
      </c>
      <c r="H437" s="10" t="s">
        <v>1054</v>
      </c>
      <c r="I437">
        <v>6</v>
      </c>
      <c r="J437">
        <v>50</v>
      </c>
      <c r="K437" t="str">
        <f t="shared" si="6"/>
        <v>50</v>
      </c>
      <c r="L437">
        <v>50</v>
      </c>
      <c r="M437">
        <v>5</v>
      </c>
      <c r="N437" t="b">
        <v>1</v>
      </c>
      <c r="O437">
        <v>0.92</v>
      </c>
      <c r="P437" s="6">
        <v>0.92</v>
      </c>
      <c r="Q437" t="s">
        <v>1024</v>
      </c>
      <c r="R437" t="s">
        <v>1032</v>
      </c>
      <c r="S437">
        <v>8</v>
      </c>
      <c r="T437">
        <v>3</v>
      </c>
    </row>
    <row r="438" spans="1:20" x14ac:dyDescent="0.25">
      <c r="A438" t="s">
        <v>898</v>
      </c>
      <c r="B438" t="s">
        <v>1608</v>
      </c>
      <c r="C438" t="s">
        <v>1609</v>
      </c>
      <c r="E438" t="s">
        <v>1960</v>
      </c>
      <c r="G438" t="s">
        <v>1056</v>
      </c>
      <c r="H438" s="10" t="s">
        <v>1050</v>
      </c>
      <c r="I438">
        <v>2</v>
      </c>
      <c r="J438">
        <v>75</v>
      </c>
      <c r="K438" t="str">
        <f t="shared" si="6"/>
        <v>75</v>
      </c>
      <c r="L438">
        <v>75</v>
      </c>
      <c r="M438">
        <v>4.7</v>
      </c>
      <c r="N438" t="s">
        <v>111</v>
      </c>
      <c r="O438">
        <v>0.68</v>
      </c>
      <c r="P438" s="6">
        <v>0.68</v>
      </c>
      <c r="Q438" t="s">
        <v>1046</v>
      </c>
      <c r="R438" t="s">
        <v>1025</v>
      </c>
      <c r="S438">
        <v>1</v>
      </c>
      <c r="T438">
        <v>2</v>
      </c>
    </row>
    <row r="439" spans="1:20" x14ac:dyDescent="0.25">
      <c r="A439" t="s">
        <v>900</v>
      </c>
      <c r="B439" t="s">
        <v>1610</v>
      </c>
      <c r="C439" t="s">
        <v>1400</v>
      </c>
      <c r="E439" t="s">
        <v>1938</v>
      </c>
      <c r="G439" t="s">
        <v>1027</v>
      </c>
      <c r="H439" s="10" t="s">
        <v>1049</v>
      </c>
      <c r="I439">
        <v>13</v>
      </c>
      <c r="J439">
        <v>100</v>
      </c>
      <c r="K439" t="str">
        <f t="shared" si="6"/>
        <v>100</v>
      </c>
      <c r="L439">
        <v>100</v>
      </c>
      <c r="M439">
        <v>3.5</v>
      </c>
      <c r="N439" t="s">
        <v>111</v>
      </c>
      <c r="O439">
        <v>0.95</v>
      </c>
      <c r="P439" s="6">
        <v>0.95</v>
      </c>
      <c r="Q439" t="s">
        <v>1024</v>
      </c>
      <c r="R439" t="s">
        <v>1025</v>
      </c>
      <c r="S439">
        <v>13</v>
      </c>
      <c r="T439">
        <v>3</v>
      </c>
    </row>
    <row r="440" spans="1:20" x14ac:dyDescent="0.25">
      <c r="A440" t="s">
        <v>902</v>
      </c>
      <c r="B440" t="s">
        <v>1611</v>
      </c>
      <c r="C440" t="s">
        <v>1612</v>
      </c>
      <c r="E440" t="s">
        <v>1961</v>
      </c>
      <c r="G440" t="s">
        <v>1059</v>
      </c>
      <c r="H440" s="10" t="s">
        <v>1049</v>
      </c>
      <c r="I440">
        <v>7</v>
      </c>
      <c r="J440" t="s">
        <v>177</v>
      </c>
      <c r="K440" t="str">
        <f t="shared" si="6"/>
        <v>$100</v>
      </c>
      <c r="L440">
        <v>100</v>
      </c>
      <c r="M440">
        <v>4.3</v>
      </c>
      <c r="N440" t="b">
        <v>0</v>
      </c>
      <c r="O440">
        <v>0.76</v>
      </c>
      <c r="P440" s="6">
        <v>0.76</v>
      </c>
      <c r="Q440" t="s">
        <v>1045</v>
      </c>
      <c r="R440" t="s">
        <v>1025</v>
      </c>
      <c r="S440">
        <v>7</v>
      </c>
      <c r="T440">
        <v>12</v>
      </c>
    </row>
    <row r="441" spans="1:20" x14ac:dyDescent="0.25">
      <c r="A441" t="s">
        <v>904</v>
      </c>
      <c r="B441" t="s">
        <v>1262</v>
      </c>
      <c r="C441" t="s">
        <v>1517</v>
      </c>
      <c r="E441" t="s">
        <v>1899</v>
      </c>
      <c r="G441" t="s">
        <v>1022</v>
      </c>
      <c r="H441" s="10" t="s">
        <v>1054</v>
      </c>
      <c r="I441">
        <v>7</v>
      </c>
      <c r="J441" t="s">
        <v>21</v>
      </c>
      <c r="K441" t="str">
        <f t="shared" si="6"/>
        <v>USD 100</v>
      </c>
      <c r="L441">
        <v>100</v>
      </c>
      <c r="M441">
        <v>3.3</v>
      </c>
      <c r="N441" t="b">
        <v>1</v>
      </c>
      <c r="O441">
        <v>0.66</v>
      </c>
      <c r="P441" s="6">
        <v>0.66</v>
      </c>
      <c r="Q441" t="s">
        <v>1038</v>
      </c>
      <c r="R441" t="s">
        <v>1029</v>
      </c>
      <c r="S441">
        <v>14</v>
      </c>
      <c r="T441">
        <v>9</v>
      </c>
    </row>
    <row r="442" spans="1:20" x14ac:dyDescent="0.25">
      <c r="A442" t="s">
        <v>906</v>
      </c>
      <c r="B442" t="s">
        <v>1120</v>
      </c>
      <c r="C442" t="s">
        <v>1613</v>
      </c>
      <c r="E442" t="s">
        <v>1962</v>
      </c>
      <c r="G442" t="s">
        <v>1048</v>
      </c>
      <c r="H442" s="10" t="s">
        <v>1028</v>
      </c>
      <c r="I442">
        <v>15</v>
      </c>
      <c r="J442">
        <v>75</v>
      </c>
      <c r="K442" t="str">
        <f t="shared" si="6"/>
        <v>75</v>
      </c>
      <c r="L442">
        <v>75</v>
      </c>
      <c r="M442">
        <v>2.4</v>
      </c>
      <c r="N442" t="b">
        <v>0</v>
      </c>
      <c r="O442">
        <v>0.73</v>
      </c>
      <c r="P442" s="6">
        <v>0.73</v>
      </c>
      <c r="Q442" t="s">
        <v>1045</v>
      </c>
      <c r="R442" t="s">
        <v>1025</v>
      </c>
      <c r="S442">
        <v>14</v>
      </c>
      <c r="T442">
        <v>8</v>
      </c>
    </row>
    <row r="443" spans="1:20" x14ac:dyDescent="0.25">
      <c r="A443" t="s">
        <v>908</v>
      </c>
      <c r="B443" t="s">
        <v>1145</v>
      </c>
      <c r="C443" t="s">
        <v>1190</v>
      </c>
      <c r="E443" t="s">
        <v>1709</v>
      </c>
      <c r="G443" t="s">
        <v>1053</v>
      </c>
      <c r="H443" s="10" t="s">
        <v>30</v>
      </c>
      <c r="I443">
        <v>10</v>
      </c>
      <c r="J443" t="s">
        <v>262</v>
      </c>
      <c r="K443" t="str">
        <f t="shared" si="6"/>
        <v>USD 20</v>
      </c>
      <c r="L443">
        <v>20</v>
      </c>
      <c r="M443">
        <v>2.8</v>
      </c>
      <c r="N443" t="b">
        <v>0</v>
      </c>
      <c r="O443">
        <v>0.99</v>
      </c>
      <c r="P443" s="6">
        <v>0.99</v>
      </c>
      <c r="Q443" t="s">
        <v>1046</v>
      </c>
      <c r="R443" t="s">
        <v>1032</v>
      </c>
      <c r="S443">
        <v>4</v>
      </c>
      <c r="T443">
        <v>1</v>
      </c>
    </row>
    <row r="444" spans="1:20" x14ac:dyDescent="0.25">
      <c r="A444" t="s">
        <v>910</v>
      </c>
      <c r="B444" t="s">
        <v>1365</v>
      </c>
      <c r="C444" t="s">
        <v>1415</v>
      </c>
      <c r="E444" t="s">
        <v>1831</v>
      </c>
      <c r="G444" t="s">
        <v>1070</v>
      </c>
      <c r="H444" s="10" t="s">
        <v>1031</v>
      </c>
      <c r="I444">
        <v>5</v>
      </c>
      <c r="K444" t="str">
        <f t="shared" si="6"/>
        <v/>
      </c>
      <c r="L444">
        <v>70</v>
      </c>
      <c r="M444">
        <v>2.7</v>
      </c>
      <c r="N444" t="b">
        <v>1</v>
      </c>
      <c r="O444">
        <v>94</v>
      </c>
      <c r="P444" s="6">
        <v>0.94</v>
      </c>
      <c r="Q444" t="s">
        <v>1038</v>
      </c>
      <c r="R444" t="s">
        <v>1029</v>
      </c>
      <c r="S444">
        <v>4</v>
      </c>
      <c r="T444">
        <v>1</v>
      </c>
    </row>
    <row r="445" spans="1:20" x14ac:dyDescent="0.25">
      <c r="A445" t="s">
        <v>912</v>
      </c>
      <c r="B445" t="s">
        <v>1614</v>
      </c>
      <c r="C445" t="s">
        <v>1615</v>
      </c>
      <c r="E445" t="s">
        <v>1963</v>
      </c>
      <c r="G445" t="s">
        <v>1070</v>
      </c>
      <c r="H445" s="10" t="s">
        <v>1023</v>
      </c>
      <c r="I445">
        <v>10</v>
      </c>
      <c r="J445" t="s">
        <v>44</v>
      </c>
      <c r="K445" t="str">
        <f t="shared" si="6"/>
        <v>$50</v>
      </c>
      <c r="L445">
        <v>50</v>
      </c>
      <c r="M445">
        <v>0</v>
      </c>
      <c r="N445" t="b">
        <v>0</v>
      </c>
      <c r="O445">
        <v>84</v>
      </c>
      <c r="P445" s="6">
        <v>0.84</v>
      </c>
      <c r="Q445" t="s">
        <v>1046</v>
      </c>
      <c r="R445" t="s">
        <v>1025</v>
      </c>
      <c r="S445">
        <v>5</v>
      </c>
      <c r="T445">
        <v>1</v>
      </c>
    </row>
    <row r="446" spans="1:20" x14ac:dyDescent="0.25">
      <c r="A446" t="s">
        <v>914</v>
      </c>
      <c r="B446" t="s">
        <v>1616</v>
      </c>
      <c r="C446" t="s">
        <v>1617</v>
      </c>
      <c r="E446" t="s">
        <v>1964</v>
      </c>
      <c r="G446" t="s">
        <v>1061</v>
      </c>
      <c r="H446" s="10" t="s">
        <v>1050</v>
      </c>
      <c r="I446">
        <v>10</v>
      </c>
      <c r="J446" t="s">
        <v>82</v>
      </c>
      <c r="K446" t="str">
        <f t="shared" si="6"/>
        <v>$20</v>
      </c>
      <c r="L446">
        <v>20</v>
      </c>
      <c r="M446">
        <v>2.4</v>
      </c>
      <c r="N446" t="b">
        <v>1</v>
      </c>
      <c r="O446">
        <v>0.92</v>
      </c>
      <c r="P446" s="6">
        <v>0.92</v>
      </c>
      <c r="Q446" t="s">
        <v>1046</v>
      </c>
      <c r="R446" t="s">
        <v>1032</v>
      </c>
      <c r="S446">
        <v>12</v>
      </c>
      <c r="T446">
        <v>4</v>
      </c>
    </row>
    <row r="447" spans="1:20" x14ac:dyDescent="0.25">
      <c r="A447" t="s">
        <v>916</v>
      </c>
      <c r="B447" t="s">
        <v>1432</v>
      </c>
      <c r="C447" t="s">
        <v>1618</v>
      </c>
      <c r="E447" t="s">
        <v>1965</v>
      </c>
      <c r="G447" t="s">
        <v>1066</v>
      </c>
      <c r="H447" s="10" t="s">
        <v>1054</v>
      </c>
      <c r="I447">
        <v>6</v>
      </c>
      <c r="J447" t="s">
        <v>122</v>
      </c>
      <c r="K447" t="str">
        <f t="shared" si="6"/>
        <v>$75</v>
      </c>
      <c r="L447">
        <v>75</v>
      </c>
      <c r="M447">
        <v>4.3</v>
      </c>
      <c r="N447" t="b">
        <v>1</v>
      </c>
      <c r="P447" s="6">
        <v>0.78</v>
      </c>
      <c r="Q447" t="s">
        <v>1045</v>
      </c>
      <c r="R447" t="s">
        <v>1029</v>
      </c>
      <c r="S447">
        <v>14</v>
      </c>
      <c r="T447">
        <v>4</v>
      </c>
    </row>
    <row r="448" spans="1:20" x14ac:dyDescent="0.25">
      <c r="A448" t="s">
        <v>918</v>
      </c>
      <c r="B448" t="s">
        <v>1320</v>
      </c>
      <c r="C448" t="s">
        <v>1619</v>
      </c>
      <c r="E448" t="s">
        <v>1966</v>
      </c>
      <c r="G448" t="s">
        <v>1027</v>
      </c>
      <c r="H448" s="10" t="s">
        <v>30</v>
      </c>
      <c r="I448">
        <v>8</v>
      </c>
      <c r="J448" t="s">
        <v>64</v>
      </c>
      <c r="K448" t="str">
        <f t="shared" si="6"/>
        <v>USD 50</v>
      </c>
      <c r="L448">
        <v>50</v>
      </c>
      <c r="M448">
        <v>2.4</v>
      </c>
      <c r="N448" t="s">
        <v>111</v>
      </c>
      <c r="O448">
        <v>90</v>
      </c>
      <c r="P448" s="6">
        <v>0.9</v>
      </c>
      <c r="Q448" t="s">
        <v>1046</v>
      </c>
      <c r="R448" t="s">
        <v>1025</v>
      </c>
      <c r="S448">
        <v>6</v>
      </c>
      <c r="T448">
        <v>5</v>
      </c>
    </row>
    <row r="449" spans="1:20" x14ac:dyDescent="0.25">
      <c r="A449" t="s">
        <v>920</v>
      </c>
      <c r="B449" t="s">
        <v>1252</v>
      </c>
      <c r="C449" t="s">
        <v>1620</v>
      </c>
      <c r="E449" t="s">
        <v>1967</v>
      </c>
      <c r="G449" t="s">
        <v>1027</v>
      </c>
      <c r="H449" s="10" t="s">
        <v>1028</v>
      </c>
      <c r="I449">
        <v>4</v>
      </c>
      <c r="J449">
        <v>20</v>
      </c>
      <c r="K449" t="str">
        <f t="shared" si="6"/>
        <v>20</v>
      </c>
      <c r="L449">
        <v>20</v>
      </c>
      <c r="M449">
        <v>2.4</v>
      </c>
      <c r="N449" t="b">
        <v>0</v>
      </c>
      <c r="O449">
        <v>0.73</v>
      </c>
      <c r="P449" s="6">
        <v>0.73</v>
      </c>
      <c r="Q449" t="s">
        <v>1045</v>
      </c>
      <c r="R449" t="s">
        <v>1025</v>
      </c>
      <c r="S449">
        <v>1</v>
      </c>
      <c r="T449">
        <v>1</v>
      </c>
    </row>
    <row r="450" spans="1:20" x14ac:dyDescent="0.25">
      <c r="A450" t="s">
        <v>922</v>
      </c>
      <c r="B450" t="s">
        <v>1093</v>
      </c>
      <c r="C450" t="s">
        <v>1305</v>
      </c>
      <c r="E450" t="s">
        <v>1768</v>
      </c>
      <c r="G450" t="s">
        <v>1066</v>
      </c>
      <c r="H450" s="10" t="s">
        <v>30</v>
      </c>
      <c r="I450">
        <v>3</v>
      </c>
      <c r="J450">
        <v>100</v>
      </c>
      <c r="K450" t="str">
        <f t="shared" ref="K450:K513" si="7">TRIM(J450)</f>
        <v>100</v>
      </c>
      <c r="L450">
        <v>100</v>
      </c>
      <c r="M450">
        <v>2.4</v>
      </c>
      <c r="N450" t="b">
        <v>1</v>
      </c>
      <c r="O450">
        <v>0.73</v>
      </c>
      <c r="P450" s="6">
        <v>0.73</v>
      </c>
      <c r="Q450" t="s">
        <v>1038</v>
      </c>
      <c r="R450" t="s">
        <v>1025</v>
      </c>
      <c r="S450">
        <v>1</v>
      </c>
      <c r="T450">
        <v>2</v>
      </c>
    </row>
    <row r="451" spans="1:20" x14ac:dyDescent="0.25">
      <c r="A451" t="s">
        <v>924</v>
      </c>
      <c r="B451" t="s">
        <v>1410</v>
      </c>
      <c r="C451" t="s">
        <v>1621</v>
      </c>
      <c r="E451" t="s">
        <v>1968</v>
      </c>
      <c r="G451" t="s">
        <v>1048</v>
      </c>
      <c r="H451" s="10" t="s">
        <v>1035</v>
      </c>
      <c r="I451">
        <v>10</v>
      </c>
      <c r="J451">
        <v>30</v>
      </c>
      <c r="K451" t="str">
        <f t="shared" si="7"/>
        <v>30</v>
      </c>
      <c r="L451">
        <v>30</v>
      </c>
      <c r="M451">
        <v>2.9</v>
      </c>
      <c r="N451" t="b">
        <v>1</v>
      </c>
      <c r="O451">
        <v>0.78</v>
      </c>
      <c r="P451" s="6">
        <v>0.78</v>
      </c>
      <c r="Q451" t="s">
        <v>1045</v>
      </c>
      <c r="R451" t="s">
        <v>1029</v>
      </c>
      <c r="S451">
        <v>3</v>
      </c>
      <c r="T451">
        <v>3</v>
      </c>
    </row>
    <row r="452" spans="1:20" x14ac:dyDescent="0.25">
      <c r="A452" t="s">
        <v>926</v>
      </c>
      <c r="B452" t="s">
        <v>1622</v>
      </c>
      <c r="C452" t="s">
        <v>1517</v>
      </c>
      <c r="E452" t="s">
        <v>1899</v>
      </c>
      <c r="G452" t="s">
        <v>1037</v>
      </c>
      <c r="H452" s="10" t="s">
        <v>1050</v>
      </c>
      <c r="I452">
        <v>11</v>
      </c>
      <c r="J452" t="s">
        <v>31</v>
      </c>
      <c r="K452" t="str">
        <f t="shared" si="7"/>
        <v>$30</v>
      </c>
      <c r="L452">
        <v>30</v>
      </c>
      <c r="M452">
        <v>0</v>
      </c>
      <c r="N452" t="b">
        <v>1</v>
      </c>
      <c r="O452">
        <v>0.63</v>
      </c>
      <c r="P452" s="6">
        <v>0.63</v>
      </c>
      <c r="Q452" t="s">
        <v>1038</v>
      </c>
      <c r="R452" t="s">
        <v>1032</v>
      </c>
      <c r="S452">
        <v>9</v>
      </c>
      <c r="T452">
        <v>14</v>
      </c>
    </row>
    <row r="453" spans="1:20" x14ac:dyDescent="0.25">
      <c r="A453" t="s">
        <v>928</v>
      </c>
      <c r="B453" t="s">
        <v>1440</v>
      </c>
      <c r="C453" t="s">
        <v>1312</v>
      </c>
      <c r="E453" t="s">
        <v>1772</v>
      </c>
      <c r="G453" t="s">
        <v>1037</v>
      </c>
      <c r="H453" s="10" t="s">
        <v>30</v>
      </c>
      <c r="I453">
        <v>17</v>
      </c>
      <c r="J453">
        <v>50</v>
      </c>
      <c r="K453" t="str">
        <f t="shared" si="7"/>
        <v>50</v>
      </c>
      <c r="L453">
        <v>50</v>
      </c>
      <c r="M453">
        <v>1.3</v>
      </c>
      <c r="N453" t="b">
        <v>0</v>
      </c>
      <c r="O453">
        <v>0.64</v>
      </c>
      <c r="P453" s="6">
        <v>0.64</v>
      </c>
      <c r="Q453" t="s">
        <v>1045</v>
      </c>
      <c r="R453" t="s">
        <v>1032</v>
      </c>
      <c r="S453">
        <v>18</v>
      </c>
      <c r="T453">
        <v>7</v>
      </c>
    </row>
    <row r="454" spans="1:20" x14ac:dyDescent="0.25">
      <c r="A454" t="s">
        <v>930</v>
      </c>
      <c r="B454" t="s">
        <v>1472</v>
      </c>
      <c r="C454" t="s">
        <v>1150</v>
      </c>
      <c r="D454" t="s">
        <v>1286</v>
      </c>
      <c r="E454" t="s">
        <v>1969</v>
      </c>
      <c r="G454" t="s">
        <v>1048</v>
      </c>
      <c r="H454" s="10" t="s">
        <v>1033</v>
      </c>
      <c r="I454">
        <v>1</v>
      </c>
      <c r="J454">
        <v>75</v>
      </c>
      <c r="K454" t="str">
        <f t="shared" si="7"/>
        <v>75</v>
      </c>
      <c r="L454">
        <v>75</v>
      </c>
      <c r="M454">
        <v>0</v>
      </c>
      <c r="N454" t="b">
        <v>1</v>
      </c>
      <c r="P454" s="6">
        <v>0.78</v>
      </c>
      <c r="Q454" t="s">
        <v>1024</v>
      </c>
      <c r="R454" t="s">
        <v>1042</v>
      </c>
      <c r="S454">
        <v>2</v>
      </c>
      <c r="T454">
        <v>3</v>
      </c>
    </row>
    <row r="455" spans="1:20" x14ac:dyDescent="0.25">
      <c r="A455" t="s">
        <v>932</v>
      </c>
      <c r="B455" t="s">
        <v>1096</v>
      </c>
      <c r="C455" t="s">
        <v>1623</v>
      </c>
      <c r="E455" t="s">
        <v>1970</v>
      </c>
      <c r="G455" t="s">
        <v>1040</v>
      </c>
      <c r="H455" s="10" t="s">
        <v>30</v>
      </c>
      <c r="I455">
        <v>16</v>
      </c>
      <c r="J455">
        <v>20</v>
      </c>
      <c r="K455" t="str">
        <f t="shared" si="7"/>
        <v>20</v>
      </c>
      <c r="L455">
        <v>20</v>
      </c>
      <c r="M455">
        <v>4.8</v>
      </c>
      <c r="N455" t="b">
        <v>1</v>
      </c>
      <c r="O455">
        <v>0.86</v>
      </c>
      <c r="P455" s="6">
        <v>0.86</v>
      </c>
      <c r="Q455" t="s">
        <v>1024</v>
      </c>
      <c r="R455" t="s">
        <v>1025</v>
      </c>
      <c r="S455">
        <v>12</v>
      </c>
      <c r="T455">
        <v>8</v>
      </c>
    </row>
    <row r="456" spans="1:20" x14ac:dyDescent="0.25">
      <c r="A456" t="s">
        <v>934</v>
      </c>
      <c r="B456" t="s">
        <v>1391</v>
      </c>
      <c r="C456" t="s">
        <v>1207</v>
      </c>
      <c r="D456" t="s">
        <v>1624</v>
      </c>
      <c r="E456" t="s">
        <v>1971</v>
      </c>
      <c r="G456" t="s">
        <v>1048</v>
      </c>
      <c r="H456" s="10" t="s">
        <v>1035</v>
      </c>
      <c r="I456">
        <v>11</v>
      </c>
      <c r="J456" t="s">
        <v>26</v>
      </c>
      <c r="K456" t="str">
        <f t="shared" si="7"/>
        <v>$40</v>
      </c>
      <c r="L456">
        <v>40</v>
      </c>
      <c r="M456">
        <v>2.4</v>
      </c>
      <c r="N456" t="b">
        <v>0</v>
      </c>
      <c r="P456" s="6">
        <v>0.78</v>
      </c>
      <c r="Q456" t="s">
        <v>1046</v>
      </c>
      <c r="R456" t="s">
        <v>1042</v>
      </c>
      <c r="S456">
        <v>9</v>
      </c>
      <c r="T456">
        <v>2</v>
      </c>
    </row>
    <row r="457" spans="1:20" x14ac:dyDescent="0.25">
      <c r="A457" t="s">
        <v>935</v>
      </c>
      <c r="B457" t="s">
        <v>1178</v>
      </c>
      <c r="C457" t="s">
        <v>1625</v>
      </c>
      <c r="E457" t="s">
        <v>1972</v>
      </c>
      <c r="G457" t="s">
        <v>1061</v>
      </c>
      <c r="H457" s="10" t="s">
        <v>1028</v>
      </c>
      <c r="I457">
        <v>3</v>
      </c>
      <c r="J457" t="s">
        <v>177</v>
      </c>
      <c r="K457" t="str">
        <f t="shared" si="7"/>
        <v>$100</v>
      </c>
      <c r="L457">
        <v>100</v>
      </c>
      <c r="M457">
        <v>4.7</v>
      </c>
      <c r="N457" t="b">
        <v>0</v>
      </c>
      <c r="O457">
        <v>0.96</v>
      </c>
      <c r="P457" s="6">
        <v>0.96</v>
      </c>
      <c r="Q457" t="s">
        <v>1045</v>
      </c>
      <c r="R457" t="s">
        <v>1042</v>
      </c>
      <c r="S457">
        <v>2</v>
      </c>
      <c r="T457">
        <v>1</v>
      </c>
    </row>
    <row r="458" spans="1:20" x14ac:dyDescent="0.25">
      <c r="A458" t="s">
        <v>937</v>
      </c>
      <c r="B458" t="s">
        <v>1125</v>
      </c>
      <c r="C458" t="s">
        <v>1400</v>
      </c>
      <c r="E458" t="s">
        <v>1938</v>
      </c>
      <c r="G458" t="s">
        <v>1027</v>
      </c>
      <c r="H458" s="10" t="s">
        <v>1031</v>
      </c>
      <c r="I458">
        <v>10</v>
      </c>
      <c r="J458" t="s">
        <v>122</v>
      </c>
      <c r="K458" t="str">
        <f t="shared" si="7"/>
        <v>$75</v>
      </c>
      <c r="L458">
        <v>75</v>
      </c>
      <c r="M458">
        <v>2</v>
      </c>
      <c r="N458" t="b">
        <v>0</v>
      </c>
      <c r="P458" s="6">
        <v>0.78</v>
      </c>
      <c r="Q458" t="s">
        <v>1045</v>
      </c>
      <c r="R458" t="s">
        <v>1032</v>
      </c>
      <c r="S458">
        <v>4</v>
      </c>
      <c r="T458">
        <v>3</v>
      </c>
    </row>
    <row r="459" spans="1:20" x14ac:dyDescent="0.25">
      <c r="A459" t="s">
        <v>939</v>
      </c>
      <c r="B459" t="s">
        <v>1509</v>
      </c>
      <c r="C459" t="s">
        <v>1626</v>
      </c>
      <c r="E459" t="s">
        <v>1973</v>
      </c>
      <c r="G459" t="s">
        <v>1027</v>
      </c>
      <c r="H459" s="10" t="s">
        <v>1028</v>
      </c>
      <c r="I459">
        <v>3</v>
      </c>
      <c r="J459" t="s">
        <v>44</v>
      </c>
      <c r="K459" t="str">
        <f t="shared" si="7"/>
        <v>$50</v>
      </c>
      <c r="L459">
        <v>50</v>
      </c>
      <c r="M459">
        <v>2.2000000000000002</v>
      </c>
      <c r="N459" t="b">
        <v>0</v>
      </c>
      <c r="O459">
        <v>0.77</v>
      </c>
      <c r="P459" s="6">
        <v>0.77</v>
      </c>
      <c r="Q459" t="s">
        <v>1038</v>
      </c>
      <c r="R459" t="s">
        <v>1029</v>
      </c>
      <c r="S459">
        <v>4</v>
      </c>
      <c r="T459">
        <v>1</v>
      </c>
    </row>
    <row r="460" spans="1:20" x14ac:dyDescent="0.25">
      <c r="A460" t="s">
        <v>941</v>
      </c>
      <c r="B460" t="s">
        <v>1256</v>
      </c>
      <c r="C460" t="s">
        <v>1627</v>
      </c>
      <c r="E460" t="s">
        <v>1974</v>
      </c>
      <c r="G460" t="s">
        <v>1027</v>
      </c>
      <c r="H460" s="10" t="s">
        <v>1035</v>
      </c>
      <c r="I460">
        <v>1</v>
      </c>
      <c r="J460">
        <v>100</v>
      </c>
      <c r="K460" t="str">
        <f t="shared" si="7"/>
        <v>100</v>
      </c>
      <c r="L460">
        <v>100</v>
      </c>
      <c r="M460">
        <v>2.1</v>
      </c>
      <c r="N460" t="b">
        <v>1</v>
      </c>
      <c r="P460" s="6">
        <v>0.78</v>
      </c>
      <c r="Q460" t="s">
        <v>1046</v>
      </c>
      <c r="R460" t="s">
        <v>1029</v>
      </c>
      <c r="S460">
        <v>4</v>
      </c>
      <c r="T460">
        <v>1</v>
      </c>
    </row>
    <row r="461" spans="1:20" x14ac:dyDescent="0.25">
      <c r="A461" t="s">
        <v>943</v>
      </c>
      <c r="B461" t="s">
        <v>1628</v>
      </c>
      <c r="C461" t="s">
        <v>1629</v>
      </c>
      <c r="E461" t="s">
        <v>1975</v>
      </c>
      <c r="G461" t="s">
        <v>1066</v>
      </c>
      <c r="H461" s="10" t="s">
        <v>1041</v>
      </c>
      <c r="I461">
        <v>1</v>
      </c>
      <c r="J461">
        <v>30</v>
      </c>
      <c r="K461" t="str">
        <f t="shared" si="7"/>
        <v>30</v>
      </c>
      <c r="L461">
        <v>30</v>
      </c>
      <c r="M461">
        <v>1.7</v>
      </c>
      <c r="N461" t="b">
        <v>0</v>
      </c>
      <c r="O461">
        <v>0.65</v>
      </c>
      <c r="P461" s="6">
        <v>0.65</v>
      </c>
      <c r="Q461" t="s">
        <v>1045</v>
      </c>
      <c r="R461" t="s">
        <v>1032</v>
      </c>
      <c r="S461">
        <v>5</v>
      </c>
      <c r="T461">
        <v>4</v>
      </c>
    </row>
    <row r="462" spans="1:20" x14ac:dyDescent="0.25">
      <c r="A462" t="s">
        <v>945</v>
      </c>
      <c r="B462" t="s">
        <v>1389</v>
      </c>
      <c r="C462" t="s">
        <v>1414</v>
      </c>
      <c r="E462" t="s">
        <v>1830</v>
      </c>
      <c r="G462" t="s">
        <v>1064</v>
      </c>
      <c r="H462" s="10" t="s">
        <v>1028</v>
      </c>
      <c r="I462">
        <v>35</v>
      </c>
      <c r="K462" t="str">
        <f t="shared" si="7"/>
        <v/>
      </c>
      <c r="L462">
        <v>70</v>
      </c>
      <c r="M462">
        <v>5</v>
      </c>
      <c r="N462" t="b">
        <v>1</v>
      </c>
      <c r="O462">
        <v>0.62</v>
      </c>
      <c r="P462" s="6">
        <v>0.62</v>
      </c>
      <c r="Q462" t="s">
        <v>1046</v>
      </c>
      <c r="R462" t="s">
        <v>1029</v>
      </c>
      <c r="S462">
        <v>14</v>
      </c>
      <c r="T462">
        <v>9</v>
      </c>
    </row>
    <row r="463" spans="1:20" x14ac:dyDescent="0.25">
      <c r="A463" t="s">
        <v>947</v>
      </c>
      <c r="B463" t="s">
        <v>1463</v>
      </c>
      <c r="C463" t="s">
        <v>1409</v>
      </c>
      <c r="D463" t="s">
        <v>1630</v>
      </c>
      <c r="E463" t="s">
        <v>1976</v>
      </c>
      <c r="G463" t="s">
        <v>1044</v>
      </c>
      <c r="H463" s="10" t="s">
        <v>1041</v>
      </c>
      <c r="I463">
        <v>1</v>
      </c>
      <c r="J463">
        <v>50</v>
      </c>
      <c r="K463" t="str">
        <f t="shared" si="7"/>
        <v>50</v>
      </c>
      <c r="L463">
        <v>50</v>
      </c>
      <c r="M463">
        <v>2.9</v>
      </c>
      <c r="N463" t="s">
        <v>111</v>
      </c>
      <c r="O463">
        <v>0.81</v>
      </c>
      <c r="P463" s="6">
        <v>0.81</v>
      </c>
      <c r="Q463" t="s">
        <v>1024</v>
      </c>
      <c r="R463" t="s">
        <v>1042</v>
      </c>
      <c r="S463">
        <v>1</v>
      </c>
      <c r="T463">
        <v>1</v>
      </c>
    </row>
    <row r="464" spans="1:20" x14ac:dyDescent="0.25">
      <c r="A464" t="s">
        <v>948</v>
      </c>
      <c r="B464" t="s">
        <v>1087</v>
      </c>
      <c r="C464" t="s">
        <v>1575</v>
      </c>
      <c r="E464" t="s">
        <v>1934</v>
      </c>
      <c r="G464" t="s">
        <v>1053</v>
      </c>
      <c r="H464" s="10" t="s">
        <v>1054</v>
      </c>
      <c r="I464">
        <v>12</v>
      </c>
      <c r="J464" t="s">
        <v>44</v>
      </c>
      <c r="K464" t="str">
        <f t="shared" si="7"/>
        <v>$50</v>
      </c>
      <c r="L464">
        <v>50</v>
      </c>
      <c r="M464">
        <v>4.0999999999999996</v>
      </c>
      <c r="N464" t="b">
        <v>1</v>
      </c>
      <c r="O464">
        <v>0.62</v>
      </c>
      <c r="P464" s="6">
        <v>0.62</v>
      </c>
      <c r="Q464" t="s">
        <v>1045</v>
      </c>
      <c r="R464" t="s">
        <v>1025</v>
      </c>
      <c r="S464">
        <v>7</v>
      </c>
      <c r="T464">
        <v>4</v>
      </c>
    </row>
    <row r="465" spans="1:20" x14ac:dyDescent="0.25">
      <c r="A465" t="s">
        <v>950</v>
      </c>
      <c r="B465" t="s">
        <v>1351</v>
      </c>
      <c r="C465" t="s">
        <v>1631</v>
      </c>
      <c r="E465" t="s">
        <v>1977</v>
      </c>
      <c r="G465" t="s">
        <v>1048</v>
      </c>
      <c r="H465" s="10" t="s">
        <v>1033</v>
      </c>
      <c r="I465">
        <v>8</v>
      </c>
      <c r="J465">
        <v>40</v>
      </c>
      <c r="K465" t="str">
        <f t="shared" si="7"/>
        <v>40</v>
      </c>
      <c r="L465">
        <v>40</v>
      </c>
      <c r="M465">
        <v>4.9000000000000004</v>
      </c>
      <c r="N465" t="b">
        <v>0</v>
      </c>
      <c r="O465">
        <v>0.87</v>
      </c>
      <c r="P465" s="6">
        <v>0.87</v>
      </c>
      <c r="Q465" t="s">
        <v>1045</v>
      </c>
      <c r="R465" t="s">
        <v>1032</v>
      </c>
      <c r="S465">
        <v>9</v>
      </c>
      <c r="T465">
        <v>4</v>
      </c>
    </row>
    <row r="466" spans="1:20" x14ac:dyDescent="0.25">
      <c r="A466" t="s">
        <v>952</v>
      </c>
      <c r="B466" t="s">
        <v>1178</v>
      </c>
      <c r="C466" t="s">
        <v>1434</v>
      </c>
      <c r="E466" t="s">
        <v>1843</v>
      </c>
      <c r="G466" t="s">
        <v>1058</v>
      </c>
      <c r="H466" s="10" t="s">
        <v>1035</v>
      </c>
      <c r="I466">
        <v>13</v>
      </c>
      <c r="J466" t="s">
        <v>177</v>
      </c>
      <c r="K466" t="str">
        <f t="shared" si="7"/>
        <v>$100</v>
      </c>
      <c r="L466">
        <v>100</v>
      </c>
      <c r="M466">
        <v>2.4</v>
      </c>
      <c r="N466" t="b">
        <v>0</v>
      </c>
      <c r="P466" s="6">
        <v>0.78</v>
      </c>
      <c r="Q466" t="s">
        <v>1046</v>
      </c>
      <c r="R466" t="s">
        <v>1025</v>
      </c>
      <c r="S466">
        <v>6</v>
      </c>
      <c r="T466">
        <v>2</v>
      </c>
    </row>
    <row r="467" spans="1:20" x14ac:dyDescent="0.25">
      <c r="A467" t="s">
        <v>954</v>
      </c>
      <c r="B467" t="s">
        <v>1632</v>
      </c>
      <c r="C467" t="s">
        <v>1221</v>
      </c>
      <c r="E467" t="s">
        <v>1724</v>
      </c>
      <c r="G467" t="s">
        <v>1066</v>
      </c>
      <c r="H467" s="10" t="s">
        <v>1041</v>
      </c>
      <c r="I467">
        <v>0</v>
      </c>
      <c r="J467" t="s">
        <v>73</v>
      </c>
      <c r="K467" t="str">
        <f t="shared" si="7"/>
        <v>USD 30</v>
      </c>
      <c r="L467">
        <v>30</v>
      </c>
      <c r="M467">
        <v>0</v>
      </c>
      <c r="N467" t="b">
        <v>1</v>
      </c>
      <c r="O467">
        <v>76</v>
      </c>
      <c r="P467" s="6">
        <v>0.76</v>
      </c>
      <c r="Q467" t="s">
        <v>1045</v>
      </c>
      <c r="R467" t="s">
        <v>1029</v>
      </c>
      <c r="S467">
        <v>5</v>
      </c>
      <c r="T467">
        <v>3</v>
      </c>
    </row>
    <row r="468" spans="1:20" x14ac:dyDescent="0.25">
      <c r="A468" t="s">
        <v>956</v>
      </c>
      <c r="B468" t="s">
        <v>1478</v>
      </c>
      <c r="C468" t="s">
        <v>1371</v>
      </c>
      <c r="E468" t="s">
        <v>1824</v>
      </c>
      <c r="G468" t="s">
        <v>1070</v>
      </c>
      <c r="H468" s="10" t="s">
        <v>1023</v>
      </c>
      <c r="I468">
        <v>11</v>
      </c>
      <c r="J468">
        <v>100</v>
      </c>
      <c r="K468" t="str">
        <f t="shared" si="7"/>
        <v>100</v>
      </c>
      <c r="L468">
        <v>100</v>
      </c>
      <c r="M468">
        <v>2.8</v>
      </c>
      <c r="N468" t="b">
        <v>0</v>
      </c>
      <c r="O468">
        <v>70</v>
      </c>
      <c r="P468" s="6">
        <v>0.7</v>
      </c>
      <c r="Q468" t="s">
        <v>1046</v>
      </c>
      <c r="R468" t="s">
        <v>1025</v>
      </c>
      <c r="S468">
        <v>9</v>
      </c>
      <c r="T468">
        <v>10</v>
      </c>
    </row>
    <row r="469" spans="1:20" x14ac:dyDescent="0.25">
      <c r="A469" t="s">
        <v>958</v>
      </c>
      <c r="B469" t="s">
        <v>1633</v>
      </c>
      <c r="C469" t="s">
        <v>1512</v>
      </c>
      <c r="E469" t="s">
        <v>1895</v>
      </c>
      <c r="G469" t="s">
        <v>1070</v>
      </c>
      <c r="H469" s="10" t="s">
        <v>1035</v>
      </c>
      <c r="I469">
        <v>19</v>
      </c>
      <c r="J469">
        <v>100</v>
      </c>
      <c r="K469" t="str">
        <f t="shared" si="7"/>
        <v>100</v>
      </c>
      <c r="L469">
        <v>100</v>
      </c>
      <c r="M469">
        <v>3.8</v>
      </c>
      <c r="N469" t="b">
        <v>1</v>
      </c>
      <c r="O469">
        <v>0.71</v>
      </c>
      <c r="P469" s="6">
        <v>0.71</v>
      </c>
      <c r="Q469" t="s">
        <v>1045</v>
      </c>
      <c r="R469" t="s">
        <v>1029</v>
      </c>
      <c r="S469">
        <v>16</v>
      </c>
      <c r="T469">
        <v>5</v>
      </c>
    </row>
    <row r="470" spans="1:20" x14ac:dyDescent="0.25">
      <c r="A470" t="s">
        <v>960</v>
      </c>
      <c r="B470" t="s">
        <v>1369</v>
      </c>
      <c r="C470" t="s">
        <v>1406</v>
      </c>
      <c r="E470" t="s">
        <v>1826</v>
      </c>
      <c r="G470" t="s">
        <v>1027</v>
      </c>
      <c r="H470" s="10" t="s">
        <v>1028</v>
      </c>
      <c r="I470">
        <v>30</v>
      </c>
      <c r="J470" t="s">
        <v>73</v>
      </c>
      <c r="K470" t="str">
        <f t="shared" si="7"/>
        <v>USD 30</v>
      </c>
      <c r="L470">
        <v>30</v>
      </c>
      <c r="M470">
        <v>4.3</v>
      </c>
      <c r="N470" t="b">
        <v>1</v>
      </c>
      <c r="O470">
        <v>0.83</v>
      </c>
      <c r="P470" s="6">
        <v>0.83</v>
      </c>
      <c r="Q470" t="s">
        <v>1038</v>
      </c>
      <c r="R470" t="s">
        <v>1029</v>
      </c>
      <c r="S470">
        <v>11</v>
      </c>
      <c r="T470">
        <v>3</v>
      </c>
    </row>
    <row r="471" spans="1:20" x14ac:dyDescent="0.25">
      <c r="A471" t="s">
        <v>962</v>
      </c>
      <c r="B471" t="s">
        <v>1133</v>
      </c>
      <c r="C471" t="s">
        <v>1586</v>
      </c>
      <c r="E471" t="s">
        <v>1944</v>
      </c>
      <c r="G471" t="s">
        <v>1027</v>
      </c>
      <c r="H471" s="10" t="s">
        <v>1023</v>
      </c>
      <c r="I471">
        <v>8</v>
      </c>
      <c r="J471">
        <v>40</v>
      </c>
      <c r="K471" t="str">
        <f t="shared" si="7"/>
        <v>40</v>
      </c>
      <c r="L471">
        <v>40</v>
      </c>
      <c r="M471">
        <v>0</v>
      </c>
      <c r="N471" t="b">
        <v>0</v>
      </c>
      <c r="O471">
        <v>78</v>
      </c>
      <c r="P471" s="6">
        <v>0.78</v>
      </c>
      <c r="Q471" t="s">
        <v>1046</v>
      </c>
      <c r="R471" t="s">
        <v>1042</v>
      </c>
      <c r="S471">
        <v>7</v>
      </c>
      <c r="T471">
        <v>9</v>
      </c>
    </row>
    <row r="472" spans="1:20" x14ac:dyDescent="0.25">
      <c r="A472" t="s">
        <v>964</v>
      </c>
      <c r="B472" t="s">
        <v>1285</v>
      </c>
      <c r="C472" t="s">
        <v>1634</v>
      </c>
      <c r="E472" t="s">
        <v>1978</v>
      </c>
      <c r="G472" t="s">
        <v>1040</v>
      </c>
      <c r="H472" s="10" t="s">
        <v>1050</v>
      </c>
      <c r="I472">
        <v>0</v>
      </c>
      <c r="J472">
        <v>40</v>
      </c>
      <c r="K472" t="str">
        <f t="shared" si="7"/>
        <v>40</v>
      </c>
      <c r="L472">
        <v>40</v>
      </c>
      <c r="M472">
        <v>1.3</v>
      </c>
      <c r="N472" t="b">
        <v>1</v>
      </c>
      <c r="O472">
        <v>0.78</v>
      </c>
      <c r="P472" s="6">
        <v>0.78</v>
      </c>
      <c r="Q472" t="s">
        <v>1045</v>
      </c>
      <c r="R472" t="s">
        <v>1029</v>
      </c>
      <c r="S472">
        <v>2</v>
      </c>
      <c r="T472">
        <v>1</v>
      </c>
    </row>
    <row r="473" spans="1:20" x14ac:dyDescent="0.25">
      <c r="A473" t="s">
        <v>966</v>
      </c>
      <c r="B473" t="s">
        <v>1407</v>
      </c>
      <c r="C473" t="s">
        <v>1143</v>
      </c>
      <c r="E473" t="s">
        <v>1684</v>
      </c>
      <c r="G473" t="s">
        <v>1056</v>
      </c>
      <c r="H473" s="10" t="s">
        <v>1028</v>
      </c>
      <c r="I473">
        <v>7</v>
      </c>
      <c r="J473">
        <v>50</v>
      </c>
      <c r="K473" t="str">
        <f t="shared" si="7"/>
        <v>50</v>
      </c>
      <c r="L473">
        <v>50</v>
      </c>
      <c r="M473">
        <v>4.7</v>
      </c>
      <c r="N473" t="b">
        <v>1</v>
      </c>
      <c r="O473">
        <v>0.6</v>
      </c>
      <c r="P473" s="6">
        <v>0.6</v>
      </c>
      <c r="Q473" t="s">
        <v>1024</v>
      </c>
      <c r="R473" t="s">
        <v>1042</v>
      </c>
      <c r="S473">
        <v>13</v>
      </c>
      <c r="T473">
        <v>10</v>
      </c>
    </row>
    <row r="474" spans="1:20" x14ac:dyDescent="0.25">
      <c r="A474" t="s">
        <v>968</v>
      </c>
      <c r="B474" t="s">
        <v>1635</v>
      </c>
      <c r="C474" t="s">
        <v>1636</v>
      </c>
      <c r="E474" t="s">
        <v>1979</v>
      </c>
      <c r="G474" t="s">
        <v>1064</v>
      </c>
      <c r="H474" s="10" t="s">
        <v>1023</v>
      </c>
      <c r="I474">
        <v>11</v>
      </c>
      <c r="J474" t="s">
        <v>26</v>
      </c>
      <c r="K474" t="str">
        <f t="shared" si="7"/>
        <v>$40</v>
      </c>
      <c r="L474">
        <v>40</v>
      </c>
      <c r="M474">
        <v>1.3</v>
      </c>
      <c r="N474" t="b">
        <v>1</v>
      </c>
      <c r="P474" s="6">
        <v>0.78</v>
      </c>
      <c r="Q474" t="s">
        <v>1045</v>
      </c>
      <c r="R474" t="s">
        <v>1042</v>
      </c>
      <c r="S474">
        <v>15</v>
      </c>
      <c r="T474">
        <v>4</v>
      </c>
    </row>
    <row r="475" spans="1:20" x14ac:dyDescent="0.25">
      <c r="A475" t="s">
        <v>970</v>
      </c>
      <c r="B475" t="s">
        <v>1637</v>
      </c>
      <c r="C475" t="s">
        <v>1260</v>
      </c>
      <c r="E475" t="s">
        <v>1743</v>
      </c>
      <c r="G475" t="s">
        <v>1070</v>
      </c>
      <c r="H475" s="10" t="s">
        <v>1023</v>
      </c>
      <c r="I475">
        <v>10</v>
      </c>
      <c r="J475">
        <v>75</v>
      </c>
      <c r="K475" t="str">
        <f t="shared" si="7"/>
        <v>75</v>
      </c>
      <c r="L475">
        <v>75</v>
      </c>
      <c r="M475">
        <v>4.8</v>
      </c>
      <c r="N475" t="b">
        <v>1</v>
      </c>
      <c r="P475" s="6">
        <v>0.78</v>
      </c>
      <c r="Q475" t="s">
        <v>1024</v>
      </c>
      <c r="R475" t="s">
        <v>1042</v>
      </c>
      <c r="S475">
        <v>1</v>
      </c>
      <c r="T475">
        <v>2</v>
      </c>
    </row>
    <row r="476" spans="1:20" x14ac:dyDescent="0.25">
      <c r="A476" t="s">
        <v>972</v>
      </c>
      <c r="B476" t="s">
        <v>1351</v>
      </c>
      <c r="C476" t="s">
        <v>1638</v>
      </c>
      <c r="E476" t="s">
        <v>1980</v>
      </c>
      <c r="G476" t="s">
        <v>1027</v>
      </c>
      <c r="H476" s="10" t="s">
        <v>1049</v>
      </c>
      <c r="I476">
        <v>14</v>
      </c>
      <c r="J476" t="s">
        <v>31</v>
      </c>
      <c r="K476" t="str">
        <f t="shared" si="7"/>
        <v>$30</v>
      </c>
      <c r="L476">
        <v>30</v>
      </c>
      <c r="M476">
        <v>1.3</v>
      </c>
      <c r="N476" t="b">
        <v>0</v>
      </c>
      <c r="O476">
        <v>0.94</v>
      </c>
      <c r="P476" s="6">
        <v>0.94</v>
      </c>
      <c r="Q476" t="s">
        <v>1024</v>
      </c>
      <c r="R476" t="s">
        <v>1032</v>
      </c>
      <c r="S476">
        <v>6</v>
      </c>
      <c r="T476">
        <v>1</v>
      </c>
    </row>
    <row r="477" spans="1:20" x14ac:dyDescent="0.25">
      <c r="A477" t="s">
        <v>974</v>
      </c>
      <c r="B477" t="s">
        <v>1125</v>
      </c>
      <c r="C477" t="s">
        <v>1143</v>
      </c>
      <c r="E477" t="s">
        <v>1684</v>
      </c>
      <c r="G477" t="s">
        <v>1040</v>
      </c>
      <c r="H477" s="10" t="s">
        <v>1050</v>
      </c>
      <c r="I477">
        <v>11</v>
      </c>
      <c r="J477" t="s">
        <v>44</v>
      </c>
      <c r="K477" t="str">
        <f t="shared" si="7"/>
        <v>$50</v>
      </c>
      <c r="L477">
        <v>50</v>
      </c>
      <c r="M477">
        <v>4.3</v>
      </c>
      <c r="N477" t="b">
        <v>0</v>
      </c>
      <c r="O477">
        <v>62</v>
      </c>
      <c r="P477" s="6">
        <v>0.62</v>
      </c>
      <c r="Q477" t="s">
        <v>1038</v>
      </c>
      <c r="R477" t="s">
        <v>1032</v>
      </c>
      <c r="S477">
        <v>7</v>
      </c>
      <c r="T477">
        <v>14</v>
      </c>
    </row>
    <row r="478" spans="1:20" x14ac:dyDescent="0.25">
      <c r="A478" t="s">
        <v>976</v>
      </c>
      <c r="B478" t="s">
        <v>1189</v>
      </c>
      <c r="C478" t="s">
        <v>1639</v>
      </c>
      <c r="E478" t="s">
        <v>1981</v>
      </c>
      <c r="G478" t="s">
        <v>1048</v>
      </c>
      <c r="H478" s="10" t="s">
        <v>1050</v>
      </c>
      <c r="I478">
        <v>31</v>
      </c>
      <c r="J478">
        <v>30</v>
      </c>
      <c r="K478" t="str">
        <f t="shared" si="7"/>
        <v>30</v>
      </c>
      <c r="L478">
        <v>30</v>
      </c>
      <c r="M478">
        <v>2.4</v>
      </c>
      <c r="N478" t="b">
        <v>1</v>
      </c>
      <c r="P478" s="6">
        <v>0.78</v>
      </c>
      <c r="Q478" t="s">
        <v>1046</v>
      </c>
      <c r="R478" t="s">
        <v>1029</v>
      </c>
      <c r="S478">
        <v>14</v>
      </c>
      <c r="T478">
        <v>3</v>
      </c>
    </row>
    <row r="479" spans="1:20" x14ac:dyDescent="0.25">
      <c r="A479" t="s">
        <v>978</v>
      </c>
      <c r="B479" t="s">
        <v>1106</v>
      </c>
      <c r="C479" t="s">
        <v>1640</v>
      </c>
      <c r="E479" t="s">
        <v>1982</v>
      </c>
      <c r="G479" t="s">
        <v>1037</v>
      </c>
      <c r="H479" s="10" t="s">
        <v>1054</v>
      </c>
      <c r="I479">
        <v>16</v>
      </c>
      <c r="J479" t="s">
        <v>73</v>
      </c>
      <c r="K479" t="str">
        <f t="shared" si="7"/>
        <v>USD 30</v>
      </c>
      <c r="L479">
        <v>30</v>
      </c>
      <c r="M479">
        <v>0</v>
      </c>
      <c r="N479" t="b">
        <v>1</v>
      </c>
      <c r="P479" s="6">
        <v>0.78</v>
      </c>
      <c r="Q479" t="s">
        <v>1045</v>
      </c>
      <c r="R479" t="s">
        <v>1042</v>
      </c>
      <c r="S479">
        <v>12</v>
      </c>
      <c r="T479">
        <v>10</v>
      </c>
    </row>
    <row r="480" spans="1:20" x14ac:dyDescent="0.25">
      <c r="A480" t="s">
        <v>980</v>
      </c>
      <c r="B480" t="s">
        <v>1641</v>
      </c>
      <c r="C480" t="s">
        <v>1642</v>
      </c>
      <c r="E480" t="s">
        <v>1983</v>
      </c>
      <c r="G480" t="s">
        <v>1037</v>
      </c>
      <c r="H480" s="10" t="s">
        <v>1054</v>
      </c>
      <c r="I480">
        <v>6</v>
      </c>
      <c r="J480">
        <v>30</v>
      </c>
      <c r="K480" t="str">
        <f t="shared" si="7"/>
        <v>30</v>
      </c>
      <c r="L480">
        <v>30</v>
      </c>
      <c r="M480">
        <v>0</v>
      </c>
      <c r="N480" t="b">
        <v>1</v>
      </c>
      <c r="O480">
        <v>0.84</v>
      </c>
      <c r="P480" s="6">
        <v>0.84</v>
      </c>
      <c r="Q480" t="s">
        <v>1038</v>
      </c>
      <c r="R480" t="s">
        <v>1032</v>
      </c>
      <c r="S480">
        <v>6</v>
      </c>
      <c r="T480">
        <v>4</v>
      </c>
    </row>
    <row r="481" spans="1:20" x14ac:dyDescent="0.25">
      <c r="A481" t="s">
        <v>982</v>
      </c>
      <c r="B481" t="s">
        <v>1331</v>
      </c>
      <c r="C481" t="s">
        <v>1425</v>
      </c>
      <c r="E481" t="s">
        <v>1837</v>
      </c>
      <c r="G481" t="s">
        <v>1027</v>
      </c>
      <c r="H481" s="10" t="s">
        <v>1054</v>
      </c>
      <c r="I481">
        <v>21</v>
      </c>
      <c r="J481">
        <v>75</v>
      </c>
      <c r="K481" t="str">
        <f t="shared" si="7"/>
        <v>75</v>
      </c>
      <c r="L481">
        <v>75</v>
      </c>
      <c r="M481">
        <v>2.7</v>
      </c>
      <c r="N481" t="b">
        <v>1</v>
      </c>
      <c r="P481" s="6">
        <v>0.78</v>
      </c>
      <c r="Q481" t="s">
        <v>1045</v>
      </c>
      <c r="R481" t="s">
        <v>1042</v>
      </c>
      <c r="S481">
        <v>17</v>
      </c>
      <c r="T481">
        <v>8</v>
      </c>
    </row>
    <row r="482" spans="1:20" x14ac:dyDescent="0.25">
      <c r="A482" t="s">
        <v>984</v>
      </c>
      <c r="B482" t="s">
        <v>1643</v>
      </c>
      <c r="C482" t="s">
        <v>1644</v>
      </c>
      <c r="E482" t="s">
        <v>1984</v>
      </c>
      <c r="G482" t="s">
        <v>1064</v>
      </c>
      <c r="H482" s="10" t="s">
        <v>1050</v>
      </c>
      <c r="I482">
        <v>13</v>
      </c>
      <c r="J482">
        <v>40</v>
      </c>
      <c r="K482" t="str">
        <f t="shared" si="7"/>
        <v>40</v>
      </c>
      <c r="L482">
        <v>40</v>
      </c>
      <c r="M482">
        <v>2.4</v>
      </c>
      <c r="N482" t="s">
        <v>111</v>
      </c>
      <c r="O482">
        <v>65</v>
      </c>
      <c r="P482" s="6">
        <v>0.65</v>
      </c>
      <c r="Q482" t="s">
        <v>1024</v>
      </c>
      <c r="R482" t="s">
        <v>1025</v>
      </c>
      <c r="S482">
        <v>13</v>
      </c>
      <c r="T482">
        <v>4</v>
      </c>
    </row>
    <row r="483" spans="1:20" x14ac:dyDescent="0.25">
      <c r="A483" t="s">
        <v>986</v>
      </c>
      <c r="B483" t="s">
        <v>1413</v>
      </c>
      <c r="C483" t="s">
        <v>1645</v>
      </c>
      <c r="E483" t="s">
        <v>1985</v>
      </c>
      <c r="G483" t="s">
        <v>1027</v>
      </c>
      <c r="H483" s="10" t="s">
        <v>1033</v>
      </c>
      <c r="I483">
        <v>10</v>
      </c>
      <c r="J483">
        <v>40</v>
      </c>
      <c r="K483" t="str">
        <f t="shared" si="7"/>
        <v>40</v>
      </c>
      <c r="L483">
        <v>40</v>
      </c>
      <c r="M483">
        <v>1.9</v>
      </c>
      <c r="N483" t="b">
        <v>1</v>
      </c>
      <c r="O483">
        <v>0.94</v>
      </c>
      <c r="P483" s="6">
        <v>0.94</v>
      </c>
      <c r="Q483" t="s">
        <v>1046</v>
      </c>
      <c r="R483" t="s">
        <v>1025</v>
      </c>
      <c r="S483">
        <v>4</v>
      </c>
      <c r="T483">
        <v>3</v>
      </c>
    </row>
    <row r="484" spans="1:20" x14ac:dyDescent="0.25">
      <c r="A484" t="s">
        <v>988</v>
      </c>
      <c r="B484" t="s">
        <v>1646</v>
      </c>
      <c r="C484" t="s">
        <v>1647</v>
      </c>
      <c r="E484" t="s">
        <v>1986</v>
      </c>
      <c r="G484" t="s">
        <v>1037</v>
      </c>
      <c r="H484" s="10" t="s">
        <v>1028</v>
      </c>
      <c r="I484">
        <v>11</v>
      </c>
      <c r="J484" t="s">
        <v>82</v>
      </c>
      <c r="K484" t="str">
        <f t="shared" si="7"/>
        <v>$20</v>
      </c>
      <c r="L484">
        <v>20</v>
      </c>
      <c r="M484">
        <v>3.6</v>
      </c>
      <c r="N484" t="s">
        <v>111</v>
      </c>
      <c r="O484">
        <v>0.69</v>
      </c>
      <c r="P484" s="6">
        <v>0.69</v>
      </c>
      <c r="Q484" t="s">
        <v>1045</v>
      </c>
      <c r="R484" t="s">
        <v>1025</v>
      </c>
      <c r="S484">
        <v>15</v>
      </c>
      <c r="T484">
        <v>6</v>
      </c>
    </row>
    <row r="485" spans="1:20" x14ac:dyDescent="0.25">
      <c r="A485" t="s">
        <v>990</v>
      </c>
      <c r="B485" t="s">
        <v>1457</v>
      </c>
      <c r="C485" t="s">
        <v>1648</v>
      </c>
      <c r="E485" t="s">
        <v>1987</v>
      </c>
      <c r="G485" t="s">
        <v>1037</v>
      </c>
      <c r="H485" s="10" t="s">
        <v>1028</v>
      </c>
      <c r="I485">
        <v>0</v>
      </c>
      <c r="J485">
        <v>50</v>
      </c>
      <c r="K485" t="str">
        <f t="shared" si="7"/>
        <v>50</v>
      </c>
      <c r="L485">
        <v>50</v>
      </c>
      <c r="M485">
        <v>2.9</v>
      </c>
      <c r="N485" t="b">
        <v>1</v>
      </c>
      <c r="O485">
        <v>0.65</v>
      </c>
      <c r="P485" s="6">
        <v>0.65</v>
      </c>
      <c r="Q485" t="s">
        <v>1045</v>
      </c>
      <c r="R485" t="s">
        <v>1029</v>
      </c>
      <c r="S485">
        <v>2</v>
      </c>
      <c r="T485">
        <v>1</v>
      </c>
    </row>
    <row r="486" spans="1:20" x14ac:dyDescent="0.25">
      <c r="A486" t="s">
        <v>992</v>
      </c>
      <c r="B486" t="s">
        <v>1208</v>
      </c>
      <c r="C486" t="s">
        <v>1649</v>
      </c>
      <c r="E486" t="s">
        <v>1988</v>
      </c>
      <c r="G486" t="s">
        <v>1066</v>
      </c>
      <c r="H486" s="10" t="s">
        <v>1028</v>
      </c>
      <c r="I486">
        <v>2</v>
      </c>
      <c r="J486" t="s">
        <v>122</v>
      </c>
      <c r="K486" t="str">
        <f t="shared" si="7"/>
        <v>$75</v>
      </c>
      <c r="L486">
        <v>75</v>
      </c>
      <c r="M486">
        <v>2.8</v>
      </c>
      <c r="N486" t="b">
        <v>0</v>
      </c>
      <c r="O486">
        <v>0.6</v>
      </c>
      <c r="P486" s="6">
        <v>0.6</v>
      </c>
      <c r="Q486" t="s">
        <v>1024</v>
      </c>
      <c r="R486" t="s">
        <v>1042</v>
      </c>
      <c r="S486">
        <v>5</v>
      </c>
      <c r="T486">
        <v>1</v>
      </c>
    </row>
    <row r="487" spans="1:20" x14ac:dyDescent="0.25">
      <c r="A487" t="s">
        <v>994</v>
      </c>
      <c r="B487" t="s">
        <v>1650</v>
      </c>
      <c r="C487" t="s">
        <v>1651</v>
      </c>
      <c r="E487" t="s">
        <v>1989</v>
      </c>
      <c r="G487" t="s">
        <v>1044</v>
      </c>
      <c r="H487" s="10" t="s">
        <v>1054</v>
      </c>
      <c r="I487">
        <v>12</v>
      </c>
      <c r="J487">
        <v>75</v>
      </c>
      <c r="K487" t="str">
        <f t="shared" si="7"/>
        <v>75</v>
      </c>
      <c r="L487">
        <v>75</v>
      </c>
      <c r="M487">
        <v>2.6</v>
      </c>
      <c r="N487" t="b">
        <v>0</v>
      </c>
      <c r="P487" s="6">
        <v>0.78</v>
      </c>
      <c r="Q487" t="s">
        <v>1045</v>
      </c>
      <c r="R487" t="s">
        <v>1025</v>
      </c>
      <c r="S487">
        <v>13</v>
      </c>
      <c r="T487">
        <v>13</v>
      </c>
    </row>
    <row r="488" spans="1:20" x14ac:dyDescent="0.25">
      <c r="A488" t="s">
        <v>996</v>
      </c>
      <c r="B488" t="s">
        <v>1155</v>
      </c>
      <c r="C488" t="s">
        <v>1224</v>
      </c>
      <c r="E488" t="s">
        <v>1726</v>
      </c>
      <c r="G488" t="s">
        <v>1061</v>
      </c>
      <c r="H488" s="10" t="s">
        <v>1023</v>
      </c>
      <c r="I488">
        <v>13</v>
      </c>
      <c r="J488" t="s">
        <v>177</v>
      </c>
      <c r="K488" t="str">
        <f t="shared" si="7"/>
        <v>$100</v>
      </c>
      <c r="L488">
        <v>100</v>
      </c>
      <c r="M488">
        <v>2.7</v>
      </c>
      <c r="N488" t="b">
        <v>0</v>
      </c>
      <c r="O488">
        <v>0.62</v>
      </c>
      <c r="P488" s="6">
        <v>0.62</v>
      </c>
      <c r="Q488" t="s">
        <v>1045</v>
      </c>
      <c r="R488" t="s">
        <v>1032</v>
      </c>
      <c r="S488">
        <v>8</v>
      </c>
      <c r="T488">
        <v>4</v>
      </c>
    </row>
    <row r="489" spans="1:20" x14ac:dyDescent="0.25">
      <c r="A489" t="s">
        <v>997</v>
      </c>
      <c r="B489" t="s">
        <v>1133</v>
      </c>
      <c r="C489" t="s">
        <v>1161</v>
      </c>
      <c r="E489" t="s">
        <v>1693</v>
      </c>
      <c r="G489" t="s">
        <v>1068</v>
      </c>
      <c r="H489" s="10" t="s">
        <v>1028</v>
      </c>
      <c r="I489">
        <v>6</v>
      </c>
      <c r="J489">
        <v>30</v>
      </c>
      <c r="K489" t="str">
        <f t="shared" si="7"/>
        <v>30</v>
      </c>
      <c r="L489">
        <v>30</v>
      </c>
      <c r="M489">
        <v>1.1000000000000001</v>
      </c>
      <c r="N489" t="b">
        <v>1</v>
      </c>
      <c r="P489" s="6">
        <v>0.78</v>
      </c>
      <c r="Q489" t="s">
        <v>1024</v>
      </c>
      <c r="R489" t="s">
        <v>1025</v>
      </c>
      <c r="S489">
        <v>9</v>
      </c>
      <c r="T489">
        <v>9</v>
      </c>
    </row>
    <row r="490" spans="1:20" x14ac:dyDescent="0.25">
      <c r="A490" t="s">
        <v>999</v>
      </c>
      <c r="B490" t="s">
        <v>1491</v>
      </c>
      <c r="C490" t="s">
        <v>1652</v>
      </c>
      <c r="E490" t="s">
        <v>1990</v>
      </c>
      <c r="G490" t="s">
        <v>1040</v>
      </c>
      <c r="H490" s="10" t="s">
        <v>1033</v>
      </c>
      <c r="I490">
        <v>10</v>
      </c>
      <c r="J490" t="s">
        <v>73</v>
      </c>
      <c r="K490" t="str">
        <f t="shared" si="7"/>
        <v>USD 30</v>
      </c>
      <c r="L490">
        <v>30</v>
      </c>
      <c r="M490">
        <v>0</v>
      </c>
      <c r="N490" t="b">
        <v>1</v>
      </c>
      <c r="O490">
        <v>0.89</v>
      </c>
      <c r="P490" s="6">
        <v>0.89</v>
      </c>
      <c r="Q490" t="s">
        <v>1038</v>
      </c>
      <c r="R490" t="s">
        <v>1025</v>
      </c>
      <c r="S490">
        <v>11</v>
      </c>
      <c r="T490">
        <v>10</v>
      </c>
    </row>
    <row r="491" spans="1:20" x14ac:dyDescent="0.25">
      <c r="A491" t="s">
        <v>1001</v>
      </c>
      <c r="B491" t="s">
        <v>1287</v>
      </c>
      <c r="C491" t="s">
        <v>1163</v>
      </c>
      <c r="E491" t="s">
        <v>1694</v>
      </c>
      <c r="G491" t="s">
        <v>1058</v>
      </c>
      <c r="H491" s="10" t="s">
        <v>1049</v>
      </c>
      <c r="I491">
        <v>2</v>
      </c>
      <c r="J491" t="s">
        <v>26</v>
      </c>
      <c r="K491" t="str">
        <f t="shared" si="7"/>
        <v>$40</v>
      </c>
      <c r="L491">
        <v>40</v>
      </c>
      <c r="M491">
        <v>0</v>
      </c>
      <c r="N491" t="b">
        <v>1</v>
      </c>
      <c r="O491">
        <v>0.89</v>
      </c>
      <c r="P491" s="6">
        <v>0.89</v>
      </c>
      <c r="Q491" t="s">
        <v>1024</v>
      </c>
      <c r="R491" t="s">
        <v>1025</v>
      </c>
      <c r="S491">
        <v>5</v>
      </c>
      <c r="T491">
        <v>1</v>
      </c>
    </row>
    <row r="492" spans="1:20" x14ac:dyDescent="0.25">
      <c r="A492" t="s">
        <v>1003</v>
      </c>
      <c r="B492" t="s">
        <v>1653</v>
      </c>
      <c r="C492" t="s">
        <v>1647</v>
      </c>
      <c r="E492" t="s">
        <v>1986</v>
      </c>
      <c r="G492" t="s">
        <v>1048</v>
      </c>
      <c r="H492" s="10" t="s">
        <v>1023</v>
      </c>
      <c r="I492">
        <v>4</v>
      </c>
      <c r="J492">
        <v>50</v>
      </c>
      <c r="K492" t="str">
        <f t="shared" si="7"/>
        <v>50</v>
      </c>
      <c r="L492">
        <v>50</v>
      </c>
      <c r="M492">
        <v>0</v>
      </c>
      <c r="N492" t="b">
        <v>1</v>
      </c>
      <c r="O492">
        <v>1</v>
      </c>
      <c r="P492" s="6">
        <v>1</v>
      </c>
      <c r="Q492" t="s">
        <v>1038</v>
      </c>
      <c r="R492" t="s">
        <v>1029</v>
      </c>
      <c r="S492">
        <v>2</v>
      </c>
      <c r="T492">
        <v>1</v>
      </c>
    </row>
    <row r="493" spans="1:20" x14ac:dyDescent="0.25">
      <c r="A493" t="s">
        <v>1005</v>
      </c>
      <c r="B493" t="s">
        <v>1133</v>
      </c>
      <c r="C493" t="s">
        <v>1092</v>
      </c>
      <c r="E493" t="s">
        <v>1659</v>
      </c>
      <c r="G493" t="s">
        <v>1027</v>
      </c>
      <c r="H493" s="10" t="s">
        <v>1033</v>
      </c>
      <c r="I493">
        <v>11</v>
      </c>
      <c r="K493" t="str">
        <f t="shared" si="7"/>
        <v/>
      </c>
      <c r="L493">
        <v>70</v>
      </c>
      <c r="M493">
        <v>4.5999999999999996</v>
      </c>
      <c r="N493" t="b">
        <v>1</v>
      </c>
      <c r="P493" s="6">
        <v>0.78</v>
      </c>
      <c r="Q493" t="s">
        <v>1046</v>
      </c>
      <c r="R493" t="s">
        <v>1032</v>
      </c>
      <c r="S493">
        <v>15</v>
      </c>
      <c r="T493">
        <v>2</v>
      </c>
    </row>
    <row r="494" spans="1:20" x14ac:dyDescent="0.25">
      <c r="A494" t="s">
        <v>1007</v>
      </c>
      <c r="B494" t="s">
        <v>1133</v>
      </c>
      <c r="C494" t="s">
        <v>1132</v>
      </c>
      <c r="E494" t="s">
        <v>1679</v>
      </c>
      <c r="G494" t="s">
        <v>1061</v>
      </c>
      <c r="H494" s="10" t="s">
        <v>1049</v>
      </c>
      <c r="I494">
        <v>14</v>
      </c>
      <c r="J494">
        <v>40</v>
      </c>
      <c r="K494" t="str">
        <f t="shared" si="7"/>
        <v>40</v>
      </c>
      <c r="L494">
        <v>40</v>
      </c>
      <c r="M494">
        <v>1.5</v>
      </c>
      <c r="N494" t="b">
        <v>0</v>
      </c>
      <c r="O494">
        <v>0.6</v>
      </c>
      <c r="P494" s="6">
        <v>0.6</v>
      </c>
      <c r="Q494" t="s">
        <v>1038</v>
      </c>
      <c r="R494" t="s">
        <v>1042</v>
      </c>
      <c r="S494">
        <v>15</v>
      </c>
      <c r="T494">
        <v>10</v>
      </c>
    </row>
    <row r="495" spans="1:20" x14ac:dyDescent="0.25">
      <c r="A495" t="s">
        <v>1009</v>
      </c>
      <c r="B495" t="s">
        <v>1197</v>
      </c>
      <c r="C495" t="s">
        <v>1163</v>
      </c>
      <c r="E495" t="s">
        <v>1694</v>
      </c>
      <c r="G495" t="s">
        <v>1027</v>
      </c>
      <c r="H495" s="10" t="s">
        <v>1049</v>
      </c>
      <c r="I495">
        <v>10</v>
      </c>
      <c r="J495">
        <v>40</v>
      </c>
      <c r="K495" t="str">
        <f t="shared" si="7"/>
        <v>40</v>
      </c>
      <c r="L495">
        <v>40</v>
      </c>
      <c r="M495">
        <v>2</v>
      </c>
      <c r="N495" t="s">
        <v>111</v>
      </c>
      <c r="O495">
        <v>0.85</v>
      </c>
      <c r="P495" s="6">
        <v>0.85</v>
      </c>
      <c r="Q495" t="s">
        <v>1038</v>
      </c>
      <c r="R495" t="s">
        <v>1032</v>
      </c>
      <c r="S495">
        <v>7</v>
      </c>
      <c r="T495">
        <v>6</v>
      </c>
    </row>
    <row r="496" spans="1:20" x14ac:dyDescent="0.25">
      <c r="A496" t="s">
        <v>1011</v>
      </c>
      <c r="B496" t="s">
        <v>1152</v>
      </c>
      <c r="C496" t="s">
        <v>1654</v>
      </c>
      <c r="E496" t="s">
        <v>1991</v>
      </c>
      <c r="G496" t="s">
        <v>1059</v>
      </c>
      <c r="H496" s="10" t="s">
        <v>1031</v>
      </c>
      <c r="I496">
        <v>3</v>
      </c>
      <c r="J496" t="s">
        <v>26</v>
      </c>
      <c r="K496" t="str">
        <f t="shared" si="7"/>
        <v>$40</v>
      </c>
      <c r="L496">
        <v>40</v>
      </c>
      <c r="M496">
        <v>1.6</v>
      </c>
      <c r="N496" t="b">
        <v>0</v>
      </c>
      <c r="O496">
        <v>0.83</v>
      </c>
      <c r="P496" s="6">
        <v>0.83</v>
      </c>
      <c r="Q496" t="s">
        <v>1046</v>
      </c>
      <c r="R496" t="s">
        <v>1042</v>
      </c>
      <c r="S496">
        <v>4</v>
      </c>
      <c r="T496">
        <v>2</v>
      </c>
    </row>
    <row r="497" spans="1:20" x14ac:dyDescent="0.25">
      <c r="A497" t="s">
        <v>1013</v>
      </c>
      <c r="B497" t="s">
        <v>1176</v>
      </c>
      <c r="C497" t="s">
        <v>1271</v>
      </c>
      <c r="E497" t="s">
        <v>1750</v>
      </c>
      <c r="G497" t="s">
        <v>1048</v>
      </c>
      <c r="H497" s="10" t="s">
        <v>30</v>
      </c>
      <c r="I497">
        <v>3</v>
      </c>
      <c r="J497" t="s">
        <v>31</v>
      </c>
      <c r="K497" t="str">
        <f t="shared" si="7"/>
        <v>$30</v>
      </c>
      <c r="L497">
        <v>30</v>
      </c>
      <c r="M497">
        <v>1.5</v>
      </c>
      <c r="N497" t="b">
        <v>0</v>
      </c>
      <c r="O497">
        <v>0.96</v>
      </c>
      <c r="P497" s="6">
        <v>0.96</v>
      </c>
      <c r="Q497" t="s">
        <v>1038</v>
      </c>
      <c r="R497" t="s">
        <v>1029</v>
      </c>
      <c r="S497">
        <v>5</v>
      </c>
      <c r="T497">
        <v>1</v>
      </c>
    </row>
    <row r="498" spans="1:20" x14ac:dyDescent="0.25">
      <c r="A498" t="s">
        <v>1015</v>
      </c>
      <c r="B498" t="s">
        <v>1275</v>
      </c>
      <c r="C498" t="s">
        <v>1521</v>
      </c>
      <c r="E498" t="s">
        <v>1901</v>
      </c>
      <c r="G498" t="s">
        <v>1037</v>
      </c>
      <c r="H498" s="10" t="s">
        <v>1023</v>
      </c>
      <c r="I498">
        <v>33</v>
      </c>
      <c r="K498" t="str">
        <f t="shared" si="7"/>
        <v/>
      </c>
      <c r="L498">
        <v>70</v>
      </c>
      <c r="M498">
        <v>4.0999999999999996</v>
      </c>
      <c r="N498" t="b">
        <v>1</v>
      </c>
      <c r="O498">
        <v>0.83</v>
      </c>
      <c r="P498" s="6">
        <v>0.83</v>
      </c>
      <c r="Q498" t="s">
        <v>1024</v>
      </c>
      <c r="R498" t="s">
        <v>1029</v>
      </c>
      <c r="S498">
        <v>19</v>
      </c>
      <c r="T498">
        <v>3</v>
      </c>
    </row>
    <row r="499" spans="1:20" x14ac:dyDescent="0.25">
      <c r="A499" t="s">
        <v>1017</v>
      </c>
      <c r="B499" t="s">
        <v>1526</v>
      </c>
      <c r="C499" t="s">
        <v>1655</v>
      </c>
      <c r="D499" t="s">
        <v>1624</v>
      </c>
      <c r="E499" t="s">
        <v>1992</v>
      </c>
      <c r="G499" t="s">
        <v>1040</v>
      </c>
      <c r="H499" s="10" t="s">
        <v>1041</v>
      </c>
      <c r="I499">
        <v>24</v>
      </c>
      <c r="J499">
        <v>100</v>
      </c>
      <c r="K499" t="str">
        <f t="shared" si="7"/>
        <v>100</v>
      </c>
      <c r="L499">
        <v>100</v>
      </c>
      <c r="M499">
        <v>4.7</v>
      </c>
      <c r="N499" t="b">
        <v>0</v>
      </c>
      <c r="O499">
        <v>0.6</v>
      </c>
      <c r="P499" s="6">
        <v>0.6</v>
      </c>
      <c r="Q499" t="s">
        <v>1038</v>
      </c>
      <c r="R499" t="s">
        <v>1029</v>
      </c>
      <c r="S499">
        <v>20</v>
      </c>
      <c r="T499">
        <v>3</v>
      </c>
    </row>
    <row r="500" spans="1:20" x14ac:dyDescent="0.25">
      <c r="A500" t="s">
        <v>1018</v>
      </c>
      <c r="B500" t="s">
        <v>1349</v>
      </c>
      <c r="C500" t="s">
        <v>1400</v>
      </c>
      <c r="E500" t="s">
        <v>1938</v>
      </c>
      <c r="G500" t="s">
        <v>1061</v>
      </c>
      <c r="H500" s="10" t="s">
        <v>1049</v>
      </c>
      <c r="I500">
        <v>3</v>
      </c>
      <c r="J500" t="s">
        <v>21</v>
      </c>
      <c r="K500" t="str">
        <f t="shared" si="7"/>
        <v>USD 100</v>
      </c>
      <c r="L500">
        <v>100</v>
      </c>
      <c r="M500">
        <v>3.6</v>
      </c>
      <c r="N500" t="b">
        <v>1</v>
      </c>
      <c r="O500">
        <v>0.78</v>
      </c>
      <c r="P500" s="6">
        <v>0.78</v>
      </c>
      <c r="Q500" t="s">
        <v>1046</v>
      </c>
      <c r="R500" t="s">
        <v>1029</v>
      </c>
      <c r="S500">
        <v>3</v>
      </c>
      <c r="T500">
        <v>4</v>
      </c>
    </row>
    <row r="501" spans="1:20" x14ac:dyDescent="0.25">
      <c r="E501" t="s">
        <v>1993</v>
      </c>
      <c r="K501" t="str">
        <f t="shared" si="7"/>
        <v/>
      </c>
      <c r="L501">
        <v>70</v>
      </c>
      <c r="P501" s="6">
        <v>0.78</v>
      </c>
    </row>
    <row r="502" spans="1:20" x14ac:dyDescent="0.25">
      <c r="E502" t="s">
        <v>1993</v>
      </c>
      <c r="K502" t="str">
        <f t="shared" si="7"/>
        <v/>
      </c>
      <c r="L502">
        <v>70</v>
      </c>
      <c r="P502" s="6">
        <v>0.78</v>
      </c>
    </row>
  </sheetData>
  <dataConsolidate/>
  <phoneticPr fontId="20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29348-B890-4934-A5E6-D6069772F8CD}">
  <dimension ref="G3:X26"/>
  <sheetViews>
    <sheetView topLeftCell="F1" workbookViewId="0">
      <selection activeCell="X14" sqref="X14"/>
    </sheetView>
  </sheetViews>
  <sheetFormatPr defaultRowHeight="15" x14ac:dyDescent="0.25"/>
  <sheetData>
    <row r="3" spans="7:24" ht="15.75" thickBot="1" x14ac:dyDescent="0.3"/>
    <row r="4" spans="7:24" x14ac:dyDescent="0.25">
      <c r="I4" s="11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3"/>
    </row>
    <row r="5" spans="7:24" ht="18.75" x14ac:dyDescent="0.3">
      <c r="I5" s="14"/>
      <c r="J5" s="15"/>
      <c r="K5" s="15"/>
      <c r="L5" s="15"/>
      <c r="M5" s="16" t="s">
        <v>1084</v>
      </c>
      <c r="N5" s="16"/>
      <c r="O5" s="16"/>
      <c r="P5" s="15"/>
      <c r="Q5" s="15"/>
      <c r="R5" s="15"/>
      <c r="S5" s="15"/>
      <c r="T5" s="15"/>
      <c r="U5" s="17"/>
    </row>
    <row r="6" spans="7:24" x14ac:dyDescent="0.25">
      <c r="I6" s="14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7"/>
    </row>
    <row r="7" spans="7:24" x14ac:dyDescent="0.25">
      <c r="I7" s="14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7"/>
    </row>
    <row r="8" spans="7:24" ht="18.75" x14ac:dyDescent="0.3">
      <c r="G8" s="7"/>
      <c r="H8" s="7"/>
      <c r="I8" s="18"/>
      <c r="J8" s="19" t="s">
        <v>1999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20"/>
      <c r="V8" s="7"/>
      <c r="W8" s="7"/>
      <c r="X8" s="7"/>
    </row>
    <row r="9" spans="7:24" ht="18.75" x14ac:dyDescent="0.3">
      <c r="G9" s="7"/>
      <c r="H9" s="7"/>
      <c r="I9" s="18"/>
      <c r="J9" s="19" t="s">
        <v>2000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20"/>
      <c r="V9" s="7"/>
      <c r="W9" s="7"/>
      <c r="X9" s="7"/>
    </row>
    <row r="10" spans="7:24" ht="18.75" x14ac:dyDescent="0.3">
      <c r="G10" s="7"/>
      <c r="H10" s="8"/>
      <c r="I10" s="18"/>
      <c r="J10" s="21" t="s">
        <v>2001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20"/>
      <c r="V10" s="7"/>
      <c r="W10" s="7"/>
      <c r="X10" s="7"/>
    </row>
    <row r="11" spans="7:24" ht="18.75" x14ac:dyDescent="0.3">
      <c r="G11" s="7"/>
      <c r="H11" s="9"/>
      <c r="I11" s="18"/>
      <c r="J11" s="21" t="s">
        <v>2002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20"/>
      <c r="V11" s="7"/>
      <c r="W11" s="7"/>
      <c r="X11" s="7"/>
    </row>
    <row r="12" spans="7:24" ht="18.75" x14ac:dyDescent="0.3">
      <c r="G12" s="7"/>
      <c r="H12" s="9"/>
      <c r="I12" s="18"/>
      <c r="J12" s="16" t="s">
        <v>1998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7"/>
    </row>
    <row r="13" spans="7:24" ht="18.75" x14ac:dyDescent="0.3">
      <c r="G13" s="7"/>
      <c r="H13" s="9"/>
      <c r="I13" s="18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7"/>
    </row>
    <row r="14" spans="7:24" ht="18.75" x14ac:dyDescent="0.3">
      <c r="G14" s="7"/>
      <c r="H14" s="9"/>
      <c r="I14" s="18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20"/>
      <c r="V14" s="7"/>
      <c r="W14" s="7"/>
      <c r="X14" s="7"/>
    </row>
    <row r="15" spans="7:24" ht="19.5" thickBot="1" x14ac:dyDescent="0.35">
      <c r="G15" s="7"/>
      <c r="H15" s="7"/>
      <c r="I15" s="22"/>
      <c r="J15" s="23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5"/>
      <c r="V15" s="7"/>
      <c r="W15" s="7"/>
      <c r="X15" s="7"/>
    </row>
    <row r="16" spans="7:24" ht="18.75" x14ac:dyDescent="0.3"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7:24" ht="18.75" x14ac:dyDescent="0.3"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7:24" ht="18.75" x14ac:dyDescent="0.3"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7:24" ht="18.75" x14ac:dyDescent="0.3"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7:24" ht="18.75" x14ac:dyDescent="0.3"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7:24" ht="18.75" x14ac:dyDescent="0.3">
      <c r="G21" s="7"/>
      <c r="H21" s="8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7:24" ht="18.75" x14ac:dyDescent="0.3">
      <c r="G22" s="7"/>
      <c r="H22" s="8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7:24" ht="18.75" x14ac:dyDescent="0.3">
      <c r="G23" s="7"/>
      <c r="H23" s="8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7:24" ht="18.75" x14ac:dyDescent="0.3"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7:24" ht="18.75" x14ac:dyDescent="0.3"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7:24" ht="18.75" x14ac:dyDescent="0.3"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2323F1-6F80-4FDD-A12D-DC03D7A4D5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FREELANCER_1</vt:lpstr>
      <vt:lpstr>DAY_8</vt:lpstr>
      <vt:lpstr>OBSERVATIONS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D</dc:creator>
  <cp:lastModifiedBy>Ryan D</cp:lastModifiedBy>
  <dcterms:created xsi:type="dcterms:W3CDTF">2026-06-18T13:56:05Z</dcterms:created>
  <dcterms:modified xsi:type="dcterms:W3CDTF">2026-06-27T14:03:21Z</dcterms:modified>
</cp:coreProperties>
</file>